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7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esktop\Faculdade\Engenharia Inf\1º Ano\2º Semestre\IPM\Projeto2\"/>
    </mc:Choice>
  </mc:AlternateContent>
  <xr:revisionPtr revIDLastSave="0" documentId="13_ncr:1_{F8D586EE-E7E1-484B-BA01-13AB7D57CC71}" xr6:coauthVersionLast="47" xr6:coauthVersionMax="47" xr10:uidLastSave="{00000000-0000-0000-0000-000000000000}"/>
  <bookViews>
    <workbookView xWindow="-120" yWindow="-120" windowWidth="29040" windowHeight="15840" xr2:uid="{A236B33E-E6E8-4242-8280-549AC2926454}"/>
  </bookViews>
  <sheets>
    <sheet name="Dados Recolhidos" sheetId="1" r:id="rId1"/>
    <sheet name="Dados Fornecidos" sheetId="2" r:id="rId2"/>
  </sheets>
  <definedNames>
    <definedName name="_xlnm._FilterDatabase" localSheetId="0" hidden="1">'Dados Recolhidos'!$A$1:$I$38</definedName>
    <definedName name="_xlchart.v1.0" hidden="1">'Dados Recolhidos'!$D$2:$D$38</definedName>
    <definedName name="_xlchart.v1.1" hidden="1">'Dados Recolhidos'!$G$2:$G$38</definedName>
    <definedName name="_xlchart.v1.10" hidden="1">'Dados Fornecidos'!$F$2:$F$118</definedName>
    <definedName name="_xlchart.v1.2" hidden="1">'Dados Recolhidos'!$F$1</definedName>
    <definedName name="_xlchart.v1.3" hidden="1">'Dados Recolhidos'!$F$2:$F$38</definedName>
    <definedName name="_xlchart.v1.4" hidden="1">'Dados Fornecidos'!$G$2:$G$110</definedName>
    <definedName name="_xlchart.v1.5" hidden="1">'Dados Fornecidos'!$G$2:$G$118</definedName>
    <definedName name="_xlchart.v1.6" hidden="1">'Dados Fornecidos'!$D$2:$D$118</definedName>
    <definedName name="_xlchart.v1.7" hidden="1">'Dados Fornecidos'!$F$1</definedName>
    <definedName name="_xlchart.v1.8" hidden="1">'Dados Fornecidos'!$F$2:$F$118</definedName>
    <definedName name="_xlchart.v1.9" hidden="1">'Dados Fornecidos'!$F$1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I156" i="2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124" i="2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U7" i="2"/>
  <c r="P14" i="2"/>
  <c r="P16" i="2"/>
  <c r="P15" i="2"/>
  <c r="P17" i="2"/>
  <c r="K2" i="2" a="1"/>
  <c r="L15" i="2" s="1"/>
  <c r="R2" i="2"/>
  <c r="R3" i="2"/>
  <c r="O2" i="2"/>
  <c r="O3" i="2"/>
  <c r="H11" i="2"/>
  <c r="O7" i="1"/>
  <c r="H2" i="1" s="1"/>
  <c r="H11" i="1" s="1"/>
  <c r="I26" i="1"/>
  <c r="I44" i="1"/>
  <c r="I45" i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U7" i="1"/>
  <c r="P14" i="1"/>
  <c r="P15" i="1"/>
  <c r="P16" i="1"/>
  <c r="P17" i="1"/>
  <c r="O3" i="1"/>
  <c r="R3" i="1"/>
  <c r="R2" i="1"/>
  <c r="O2" i="1"/>
  <c r="K2" i="1" a="1"/>
  <c r="K2" i="1" s="1"/>
  <c r="L2" i="1" s="1"/>
  <c r="L17" i="2" l="1"/>
  <c r="L4" i="2"/>
  <c r="L6" i="2"/>
  <c r="L3" i="2"/>
  <c r="L8" i="2"/>
  <c r="L10" i="2"/>
  <c r="L12" i="2"/>
  <c r="L13" i="2"/>
  <c r="L16" i="2"/>
  <c r="L5" i="2"/>
  <c r="K2" i="2"/>
  <c r="L2" i="2" s="1"/>
  <c r="L14" i="2"/>
  <c r="L7" i="2"/>
  <c r="L9" i="2"/>
  <c r="L11" i="2"/>
  <c r="O5" i="2"/>
  <c r="O7" i="2" s="1"/>
  <c r="R5" i="2"/>
  <c r="R7" i="2" s="1"/>
  <c r="L7" i="1"/>
  <c r="L19" i="1"/>
  <c r="L3" i="1"/>
  <c r="L23" i="1"/>
  <c r="L15" i="1"/>
  <c r="L11" i="1"/>
  <c r="L22" i="1"/>
  <c r="L18" i="1"/>
  <c r="L14" i="1"/>
  <c r="L10" i="1"/>
  <c r="L6" i="1"/>
  <c r="L21" i="1"/>
  <c r="L17" i="1"/>
  <c r="L13" i="1"/>
  <c r="L9" i="1"/>
  <c r="L5" i="1"/>
  <c r="L24" i="1"/>
  <c r="L20" i="1"/>
  <c r="L16" i="1"/>
  <c r="L12" i="1"/>
  <c r="L8" i="1"/>
  <c r="L4" i="1"/>
  <c r="O5" i="1"/>
  <c r="R5" i="1"/>
  <c r="R7" i="1" s="1"/>
  <c r="O24" i="2" l="1"/>
  <c r="O23" i="2"/>
  <c r="O13" i="2"/>
  <c r="P13" i="2"/>
  <c r="O27" i="2"/>
  <c r="O21" i="2"/>
  <c r="O26" i="2"/>
  <c r="O25" i="2"/>
  <c r="R8" i="2"/>
  <c r="I38" i="2" s="1"/>
  <c r="O8" i="2"/>
  <c r="H13" i="2" s="1"/>
  <c r="O27" i="1"/>
  <c r="O26" i="1"/>
  <c r="O25" i="1"/>
  <c r="O23" i="1"/>
  <c r="O21" i="1"/>
  <c r="P13" i="1"/>
  <c r="O24" i="1"/>
  <c r="O13" i="1"/>
  <c r="O8" i="1"/>
  <c r="H3" i="1" s="1"/>
  <c r="R8" i="1"/>
  <c r="I3" i="1" s="1"/>
  <c r="I76" i="2" l="1"/>
  <c r="I88" i="2"/>
  <c r="I29" i="2"/>
  <c r="I24" i="2"/>
  <c r="I30" i="2"/>
  <c r="I44" i="2"/>
  <c r="I104" i="2"/>
  <c r="I63" i="2"/>
  <c r="I50" i="2"/>
  <c r="I59" i="2"/>
  <c r="I13" i="2"/>
  <c r="I19" i="2"/>
  <c r="I92" i="2"/>
  <c r="I80" i="2"/>
  <c r="I55" i="2"/>
  <c r="I42" i="2"/>
  <c r="I102" i="2"/>
  <c r="I4" i="2"/>
  <c r="I90" i="2"/>
  <c r="I78" i="2"/>
  <c r="I85" i="2"/>
  <c r="I110" i="2"/>
  <c r="I25" i="2"/>
  <c r="I98" i="2"/>
  <c r="I9" i="2"/>
  <c r="I47" i="2"/>
  <c r="I86" i="2"/>
  <c r="I95" i="2"/>
  <c r="I49" i="2"/>
  <c r="I10" i="2"/>
  <c r="I71" i="2"/>
  <c r="I118" i="2"/>
  <c r="I16" i="2"/>
  <c r="I46" i="2"/>
  <c r="I53" i="2"/>
  <c r="I97" i="2"/>
  <c r="I22" i="2"/>
  <c r="I94" i="2"/>
  <c r="I40" i="2"/>
  <c r="I11" i="2"/>
  <c r="I57" i="2"/>
  <c r="I100" i="2"/>
  <c r="I116" i="2"/>
  <c r="I17" i="2"/>
  <c r="I31" i="2"/>
  <c r="I82" i="2"/>
  <c r="I68" i="2"/>
  <c r="I66" i="2"/>
  <c r="I64" i="2"/>
  <c r="I74" i="2"/>
  <c r="I61" i="2"/>
  <c r="I3" i="2"/>
  <c r="I23" i="2"/>
  <c r="I37" i="2"/>
  <c r="I58" i="2"/>
  <c r="I56" i="2"/>
  <c r="I54" i="2"/>
  <c r="I52" i="2"/>
  <c r="I62" i="2"/>
  <c r="I48" i="2"/>
  <c r="I45" i="2"/>
  <c r="I43" i="2"/>
  <c r="I51" i="2"/>
  <c r="I108" i="2"/>
  <c r="I15" i="2"/>
  <c r="I8" i="2"/>
  <c r="I103" i="2"/>
  <c r="I39" i="2"/>
  <c r="I83" i="2"/>
  <c r="I21" i="2"/>
  <c r="I6" i="2"/>
  <c r="I117" i="2"/>
  <c r="I89" i="2"/>
  <c r="I12" i="2"/>
  <c r="I81" i="2"/>
  <c r="I79" i="2"/>
  <c r="I77" i="2"/>
  <c r="I87" i="2"/>
  <c r="I106" i="2"/>
  <c r="I72" i="2"/>
  <c r="I2" i="2"/>
  <c r="I41" i="2"/>
  <c r="I107" i="2"/>
  <c r="I35" i="2"/>
  <c r="I105" i="2"/>
  <c r="I101" i="2"/>
  <c r="I96" i="2"/>
  <c r="I14" i="2"/>
  <c r="I91" i="2"/>
  <c r="I99" i="2"/>
  <c r="I84" i="2"/>
  <c r="I27" i="2"/>
  <c r="I20" i="2"/>
  <c r="I33" i="2"/>
  <c r="I18" i="2"/>
  <c r="I26" i="2"/>
  <c r="I69" i="2"/>
  <c r="I67" i="2"/>
  <c r="I65" i="2"/>
  <c r="I75" i="2"/>
  <c r="I70" i="2"/>
  <c r="I60" i="2"/>
  <c r="H110" i="2"/>
  <c r="H21" i="2"/>
  <c r="H70" i="2"/>
  <c r="H96" i="2"/>
  <c r="H84" i="2"/>
  <c r="H17" i="2"/>
  <c r="H71" i="2"/>
  <c r="H31" i="2"/>
  <c r="H65" i="2"/>
  <c r="H37" i="2"/>
  <c r="H60" i="2"/>
  <c r="H64" i="2"/>
  <c r="H86" i="2"/>
  <c r="H80" i="2"/>
  <c r="H57" i="2"/>
  <c r="H2" i="2"/>
  <c r="H92" i="2"/>
  <c r="H59" i="2"/>
  <c r="H45" i="2"/>
  <c r="H29" i="2"/>
  <c r="H66" i="2"/>
  <c r="H52" i="2"/>
  <c r="H39" i="2"/>
  <c r="H35" i="2"/>
  <c r="H56" i="2"/>
  <c r="H46" i="2"/>
  <c r="H103" i="2"/>
  <c r="H16" i="2"/>
  <c r="H20" i="2"/>
  <c r="H49" i="2"/>
  <c r="H40" i="2"/>
  <c r="H91" i="2"/>
  <c r="H22" i="2"/>
  <c r="H26" i="2"/>
  <c r="H118" i="2"/>
  <c r="H106" i="2"/>
  <c r="H79" i="2"/>
  <c r="H28" i="2"/>
  <c r="H101" i="2"/>
  <c r="H97" i="2"/>
  <c r="H61" i="2"/>
  <c r="H24" i="2"/>
  <c r="H95" i="2"/>
  <c r="H67" i="2"/>
  <c r="H81" i="2"/>
  <c r="H30" i="2"/>
  <c r="H89" i="2"/>
  <c r="H102" i="2"/>
  <c r="H9" i="2"/>
  <c r="H48" i="2"/>
  <c r="H50" i="2"/>
  <c r="H69" i="2"/>
  <c r="H51" i="2"/>
  <c r="H23" i="2"/>
  <c r="H72" i="2"/>
  <c r="H58" i="2"/>
  <c r="H62" i="2"/>
  <c r="H8" i="2"/>
  <c r="H74" i="2"/>
  <c r="H53" i="2"/>
  <c r="H43" i="2"/>
  <c r="H10" i="2"/>
  <c r="H14" i="2"/>
  <c r="H47" i="2"/>
  <c r="H44" i="2"/>
  <c r="H105" i="2"/>
  <c r="H6" i="2"/>
  <c r="H41" i="2"/>
  <c r="H98" i="2"/>
  <c r="H99" i="2"/>
  <c r="H12" i="2"/>
  <c r="H107" i="2"/>
  <c r="H68" i="2"/>
  <c r="H117" i="2"/>
  <c r="H18" i="2"/>
  <c r="H85" i="2"/>
  <c r="H100" i="2"/>
  <c r="H87" i="2"/>
  <c r="H34" i="2"/>
  <c r="H116" i="2"/>
  <c r="H94" i="2"/>
  <c r="H42" i="2"/>
  <c r="H3" i="2"/>
  <c r="H55" i="2"/>
  <c r="H88" i="2"/>
  <c r="H54" i="2"/>
  <c r="H75" i="2"/>
  <c r="H19" i="2"/>
  <c r="H83" i="2"/>
  <c r="H82" i="2"/>
  <c r="H90" i="2"/>
  <c r="H15" i="2"/>
  <c r="H25" i="2"/>
  <c r="H108" i="2"/>
  <c r="H77" i="2"/>
  <c r="H76" i="2"/>
  <c r="H104" i="2"/>
  <c r="H78" i="2"/>
  <c r="H63" i="2"/>
  <c r="H38" i="2"/>
  <c r="H27" i="2"/>
  <c r="H36" i="2"/>
  <c r="H32" i="2"/>
  <c r="H33" i="2"/>
  <c r="H7" i="2"/>
  <c r="I28" i="2"/>
  <c r="I36" i="2"/>
  <c r="I32" i="2"/>
  <c r="H4" i="2"/>
  <c r="H5" i="2"/>
  <c r="I34" i="2"/>
  <c r="I5" i="2"/>
  <c r="I7" i="2"/>
  <c r="I36" i="1"/>
  <c r="H18" i="1"/>
  <c r="H8" i="1"/>
  <c r="H34" i="1"/>
  <c r="H20" i="1"/>
  <c r="H13" i="1"/>
  <c r="H28" i="1"/>
  <c r="H37" i="1"/>
  <c r="H23" i="1"/>
  <c r="H14" i="1"/>
  <c r="H4" i="1"/>
  <c r="H16" i="1"/>
  <c r="I31" i="1"/>
  <c r="H5" i="1"/>
  <c r="H7" i="1"/>
  <c r="H33" i="1"/>
  <c r="H19" i="1"/>
  <c r="H31" i="1"/>
  <c r="H24" i="1"/>
  <c r="H30" i="1"/>
  <c r="H36" i="1"/>
  <c r="H10" i="1"/>
  <c r="H22" i="1"/>
  <c r="I33" i="1"/>
  <c r="H26" i="1"/>
  <c r="H32" i="1"/>
  <c r="H15" i="1"/>
  <c r="H9" i="1"/>
  <c r="I17" i="1"/>
  <c r="I10" i="1"/>
  <c r="H21" i="1"/>
  <c r="H17" i="1"/>
  <c r="H35" i="1"/>
  <c r="H29" i="1"/>
  <c r="H38" i="1"/>
  <c r="H6" i="1"/>
  <c r="H12" i="1"/>
  <c r="I30" i="1"/>
  <c r="I20" i="1"/>
  <c r="I15" i="1"/>
  <c r="H25" i="1"/>
  <c r="H27" i="1"/>
  <c r="I4" i="1"/>
  <c r="I22" i="1"/>
  <c r="I29" i="1"/>
  <c r="I13" i="1"/>
  <c r="I32" i="1"/>
  <c r="I16" i="1"/>
  <c r="I34" i="1"/>
  <c r="I6" i="1"/>
  <c r="I27" i="1"/>
  <c r="I11" i="1"/>
  <c r="I14" i="1"/>
  <c r="I25" i="1"/>
  <c r="I9" i="1"/>
  <c r="I28" i="1"/>
  <c r="I12" i="1"/>
  <c r="I2" i="1"/>
  <c r="I23" i="1"/>
  <c r="I7" i="1"/>
  <c r="I38" i="1"/>
  <c r="I37" i="1"/>
  <c r="I21" i="1"/>
  <c r="I5" i="1"/>
  <c r="I24" i="1"/>
  <c r="I8" i="1"/>
  <c r="I18" i="1"/>
  <c r="I35" i="1"/>
  <c r="I19" i="1"/>
  <c r="Q25" i="2" l="1" a="1"/>
  <c r="Q25" i="2" s="1"/>
  <c r="P21" i="2"/>
  <c r="O14" i="2"/>
  <c r="S22" i="2" a="1"/>
  <c r="S22" i="2" s="1"/>
  <c r="Q22" i="2" a="1"/>
  <c r="Q22" i="2" s="1"/>
  <c r="P25" i="2" a="1"/>
  <c r="P25" i="2" s="1"/>
  <c r="R22" i="2" a="1"/>
  <c r="R22" i="2" s="1"/>
  <c r="P24" i="2" a="1"/>
  <c r="P24" i="2" s="1"/>
  <c r="P27" i="2" a="1"/>
  <c r="P27" i="2" s="1"/>
  <c r="Q23" i="2" a="1"/>
  <c r="Q23" i="2" s="1"/>
  <c r="R26" i="2" a="1"/>
  <c r="R26" i="2" s="1"/>
  <c r="O17" i="2"/>
  <c r="Q26" i="2" a="1"/>
  <c r="Q26" i="2" s="1"/>
  <c r="S27" i="2" a="1"/>
  <c r="S27" i="2" s="1"/>
  <c r="S24" i="2" a="1"/>
  <c r="S24" i="2" s="1"/>
  <c r="P22" i="2" a="1"/>
  <c r="P22" i="2" s="1"/>
  <c r="R27" i="2" a="1"/>
  <c r="R27" i="2" s="1"/>
  <c r="Q24" i="2" a="1"/>
  <c r="Q24" i="2" s="1"/>
  <c r="R24" i="2" a="1"/>
  <c r="R24" i="2" s="1"/>
  <c r="Q27" i="2" a="1"/>
  <c r="Q27" i="2" s="1"/>
  <c r="S23" i="2" a="1"/>
  <c r="S23" i="2" s="1"/>
  <c r="R23" i="2" a="1"/>
  <c r="R23" i="2" s="1"/>
  <c r="S26" i="2" a="1"/>
  <c r="S26" i="2" s="1"/>
  <c r="O16" i="2"/>
  <c r="P23" i="2" a="1"/>
  <c r="P23" i="2" s="1"/>
  <c r="O22" i="2" a="1"/>
  <c r="O22" i="2" s="1"/>
  <c r="S21" i="2"/>
  <c r="Q21" i="2"/>
  <c r="P26" i="2" a="1"/>
  <c r="P26" i="2" s="1"/>
  <c r="S25" i="2" a="1"/>
  <c r="S25" i="2" s="1"/>
  <c r="R21" i="2"/>
  <c r="O15" i="2"/>
  <c r="R25" i="2" a="1"/>
  <c r="R25" i="2" s="1"/>
  <c r="R9" i="2"/>
  <c r="O9" i="2"/>
  <c r="U9" i="2" s="1"/>
  <c r="Q27" i="1" a="1"/>
  <c r="Q27" i="1" s="1"/>
  <c r="S26" i="1" a="1"/>
  <c r="S26" i="1" s="1"/>
  <c r="R25" i="1" a="1"/>
  <c r="R25" i="1" s="1"/>
  <c r="P24" i="1" a="1"/>
  <c r="P24" i="1" s="1"/>
  <c r="Q23" i="1" a="1"/>
  <c r="Q23" i="1" s="1"/>
  <c r="Q22" i="1" a="1"/>
  <c r="Q22" i="1" s="1"/>
  <c r="R21" i="1"/>
  <c r="P27" i="1" a="1"/>
  <c r="P27" i="1" s="1"/>
  <c r="R24" i="1" a="1"/>
  <c r="R24" i="1" s="1"/>
  <c r="S21" i="1"/>
  <c r="Q26" i="1" a="1"/>
  <c r="Q26" i="1" s="1"/>
  <c r="R26" i="1" a="1"/>
  <c r="R26" i="1" s="1"/>
  <c r="P25" i="1" a="1"/>
  <c r="P25" i="1" s="1"/>
  <c r="Q24" i="1" a="1"/>
  <c r="Q24" i="1" s="1"/>
  <c r="P23" i="1" a="1"/>
  <c r="P23" i="1" s="1"/>
  <c r="P22" i="1" a="1"/>
  <c r="P22" i="1" s="1"/>
  <c r="Q21" i="1"/>
  <c r="S27" i="1" a="1"/>
  <c r="S27" i="1" s="1"/>
  <c r="Q25" i="1" a="1"/>
  <c r="Q25" i="1" s="1"/>
  <c r="P26" i="1" a="1"/>
  <c r="P26" i="1" s="1"/>
  <c r="S24" i="1" a="1"/>
  <c r="S24" i="1" s="1"/>
  <c r="S23" i="1" a="1"/>
  <c r="S23" i="1" s="1"/>
  <c r="S22" i="1" a="1"/>
  <c r="S22" i="1" s="1"/>
  <c r="O22" i="1" a="1"/>
  <c r="O22" i="1" s="1"/>
  <c r="P21" i="1"/>
  <c r="R27" i="1" a="1"/>
  <c r="R27" i="1" s="1"/>
  <c r="S25" i="1" a="1"/>
  <c r="S25" i="1" s="1"/>
  <c r="R22" i="1" a="1"/>
  <c r="R22" i="1" s="1"/>
  <c r="R23" i="1" a="1"/>
  <c r="R23" i="1" s="1"/>
  <c r="O9" i="1"/>
  <c r="R9" i="1"/>
  <c r="O15" i="1"/>
  <c r="O14" i="1"/>
  <c r="O16" i="1"/>
  <c r="O17" i="1"/>
  <c r="U10" i="2" l="1"/>
  <c r="U8" i="2"/>
  <c r="U9" i="1"/>
  <c r="U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<sst xmlns="http://schemas.openxmlformats.org/spreadsheetml/2006/main" count="395" uniqueCount="136">
  <si>
    <t>Time</t>
  </si>
  <si>
    <t>Age</t>
  </si>
  <si>
    <t>User ID</t>
  </si>
  <si>
    <t>Successes</t>
  </si>
  <si>
    <t>Failures</t>
  </si>
  <si>
    <t>Mistakes</t>
  </si>
  <si>
    <t>3uw8GaHGm0VDLWFG</t>
  </si>
  <si>
    <t>CeZTpqdWEzfhLEnc</t>
  </si>
  <si>
    <t>8DhfaiWamOh3Uw9o</t>
  </si>
  <si>
    <t>g2oNWF0SHiFDwvmn</t>
  </si>
  <si>
    <t>yxue3erAjUMOachW</t>
  </si>
  <si>
    <t>CfiFf9V7OsOj047r</t>
  </si>
  <si>
    <t>0sMP8F84KxuIJvUS</t>
  </si>
  <si>
    <t>eIh8zeOE0FesGgU0</t>
  </si>
  <si>
    <t>oPEWiBGBPMCF819J</t>
  </si>
  <si>
    <t>HTgbRB11ojXvDXXq</t>
  </si>
  <si>
    <t>ULzBbaDyY8yVcQfP</t>
  </si>
  <si>
    <t>KvkxzNiaKnTFgiRx</t>
  </si>
  <si>
    <t>JKNZR77snfcT33rl</t>
  </si>
  <si>
    <t>P07DbiyJf9rDSeCo</t>
  </si>
  <si>
    <t>jyyAVznZofG0lqJq</t>
  </si>
  <si>
    <t>Q8VekvGpSwipGj41</t>
  </si>
  <si>
    <t>HwoGRBURadrmPauq</t>
  </si>
  <si>
    <t>nwg3CCb0tbR0UeJn</t>
  </si>
  <si>
    <t>TaJDwUQYlB9aGhHl</t>
  </si>
  <si>
    <t>scoSMLBUCE6Et9wX</t>
  </si>
  <si>
    <t>zdDAhd5ZOwiWbYW3</t>
  </si>
  <si>
    <t>QyT8rOgxnguJZYTi</t>
  </si>
  <si>
    <t>xc9TOMeeyr5cbAft</t>
  </si>
  <si>
    <t>Total time (s)</t>
  </si>
  <si>
    <t>Métrica</t>
  </si>
  <si>
    <t>Idade</t>
  </si>
  <si>
    <t>Sucessos</t>
  </si>
  <si>
    <t>Falhas</t>
  </si>
  <si>
    <t>Erros</t>
  </si>
  <si>
    <t>Tempo total (s)</t>
  </si>
  <si>
    <t>Média</t>
  </si>
  <si>
    <t>Desvio Padrão</t>
  </si>
  <si>
    <t>Mínimo</t>
  </si>
  <si>
    <t>1º Quartil</t>
  </si>
  <si>
    <t>Mediana</t>
  </si>
  <si>
    <t>3º Quartil</t>
  </si>
  <si>
    <t>Máximo</t>
  </si>
  <si>
    <t>IDs Exclusivos</t>
  </si>
  <si>
    <t>Idades</t>
  </si>
  <si>
    <t>Q1</t>
  </si>
  <si>
    <t>Q3</t>
  </si>
  <si>
    <t>AIQ</t>
  </si>
  <si>
    <t>Lim. Inf</t>
  </si>
  <si>
    <t>Lim. Sup</t>
  </si>
  <si>
    <t>Outlier (Tempo)</t>
  </si>
  <si>
    <t>OUTLIERS TEMPO</t>
  </si>
  <si>
    <t>OUTLIERS SUCESSOS</t>
  </si>
  <si>
    <t>Outlier (Sucessos)</t>
  </si>
  <si>
    <t>Média de idade</t>
  </si>
  <si>
    <t>Média de sucessos</t>
  </si>
  <si>
    <t>Média de falhas</t>
  </si>
  <si>
    <t>Média de tempo (s)</t>
  </si>
  <si>
    <t>Sem Outliers</t>
  </si>
  <si>
    <t>Média de erros</t>
  </si>
  <si>
    <t>Com Outliers</t>
  </si>
  <si>
    <t>Nº Outliers</t>
  </si>
  <si>
    <t>Nº Total Outliers</t>
  </si>
  <si>
    <t>Taxa Outliers</t>
  </si>
  <si>
    <r>
      <t xml:space="preserve">Métrica </t>
    </r>
    <r>
      <rPr>
        <sz val="11"/>
        <color theme="1"/>
        <rFont val="Arial"/>
        <family val="2"/>
      </rPr>
      <t>(sem Outliers)</t>
    </r>
  </si>
  <si>
    <t>Nº Amostras</t>
  </si>
  <si>
    <t>TABELA SEM OUTLIERS</t>
  </si>
  <si>
    <t>Amostra</t>
  </si>
  <si>
    <t>Total time</t>
  </si>
  <si>
    <t>S9pVuEljG26YQGXn</t>
  </si>
  <si>
    <t>XzbZuolmYdO3c3bo</t>
  </si>
  <si>
    <t>Edgr7UfaJZaEuewB</t>
  </si>
  <si>
    <t>Q74IpRGo13tjjwPV</t>
  </si>
  <si>
    <t>iXPQGDyzvUAneNsw</t>
  </si>
  <si>
    <t>L0g8MvdMcTpnmRSF</t>
  </si>
  <si>
    <t>gWCJF3HiBz52kzb7</t>
  </si>
  <si>
    <t>GJbhz3HJd0ZWyAR6</t>
  </si>
  <si>
    <t>Y3bZ73LQsQ9aBW3T</t>
  </si>
  <si>
    <t>DVUPqrA6T1ypk3YM</t>
  </si>
  <si>
    <t>5iCbySSMl1tiSgKQ</t>
  </si>
  <si>
    <t>JauuGBAOEsMVHdex</t>
  </si>
  <si>
    <t>bKR1lPmjBmnmC3Af</t>
  </si>
  <si>
    <t>b7tuxpOEliNVQKs3</t>
  </si>
  <si>
    <t>HVrc7j2iD8iuc3hH</t>
  </si>
  <si>
    <t>T1JTrkB7sskcLV5Q</t>
  </si>
  <si>
    <t>d2sAwDb1aZPqYH0a</t>
  </si>
  <si>
    <t>H26uiV18qXsYsRPN</t>
  </si>
  <si>
    <t>5Q4pw6aYRuof00HI</t>
  </si>
  <si>
    <t>SYFdeuze4X2p8P3r</t>
  </si>
  <si>
    <t>JpRzHiEmr8QtKPnM</t>
  </si>
  <si>
    <t>JozqL1gEOtHWuU3K</t>
  </si>
  <si>
    <t>WZtKvpRPt7PUVbGK</t>
  </si>
  <si>
    <t>768VWMc31QoZI5fm</t>
  </si>
  <si>
    <t>eGe15gjZ0fbm0w7Y</t>
  </si>
  <si>
    <t>q39wgAlL4lItctUQ</t>
  </si>
  <si>
    <t>jJZuQBDQjzLL6lYh</t>
  </si>
  <si>
    <t>vNIiEEyFEOwlwj0o</t>
  </si>
  <si>
    <t>Xkd8jdMabbYW9jsg</t>
  </si>
  <si>
    <t>TPRKwFDmoghe7e2B</t>
  </si>
  <si>
    <t>86JFheJW4ASAYVa5</t>
  </si>
  <si>
    <t>t5PQkw6BnaFIog9r</t>
  </si>
  <si>
    <t>qLFhpNYOWBKX3Q6E</t>
  </si>
  <si>
    <t>DMMwyCM3etMMd88T</t>
  </si>
  <si>
    <t>GKVBpCmajrVxWOkL</t>
  </si>
  <si>
    <t>lkoZRP22Rz5EW7lI</t>
  </si>
  <si>
    <t>xcLwcTIW0HYKRxpF</t>
  </si>
  <si>
    <t>zoZy6LVQr0sXekCc</t>
  </si>
  <si>
    <t>Y18O80q53sMTIXHY</t>
  </si>
  <si>
    <t>F77iXCmD4OhUI4Lm</t>
  </si>
  <si>
    <t>cMJYXvIQDZXOBNHS</t>
  </si>
  <si>
    <t>tAG3VCKRyLifptca</t>
  </si>
  <si>
    <t>W4mJugc5ZpVahdXv</t>
  </si>
  <si>
    <t>kLAbxAwMI2YIqOan</t>
  </si>
  <si>
    <t>94bS05eK2aLlZE8c</t>
  </si>
  <si>
    <t>EDm87NUovn7p6T3y</t>
  </si>
  <si>
    <t>XKGDzoazx0fhLYOl</t>
  </si>
  <si>
    <t>60xp83xIUbaAWLcN</t>
  </si>
  <si>
    <t>7nNuH2rwFoVrkIFa</t>
  </si>
  <si>
    <t>adNupScAXLXd8Fjw</t>
  </si>
  <si>
    <t>XugNQp4xDjM4iO5m</t>
  </si>
  <si>
    <t>v5xvx4gbeyQxvs3K</t>
  </si>
  <si>
    <t>jtIznXjLIlN69iY4</t>
  </si>
  <si>
    <t>riGkasPPXMpxk7Ry</t>
  </si>
  <si>
    <t>Tdk79bIBJmSptIfQ</t>
  </si>
  <si>
    <t>3aBdwR9gZAwEJrCl</t>
  </si>
  <si>
    <t>cMBoty8CexpxLDM3</t>
  </si>
  <si>
    <t>s02hv8dAvCr9gQUO</t>
  </si>
  <si>
    <t>g5OoQxWROrxoba8x</t>
  </si>
  <si>
    <t>eoAtM1QiZYw1rP2o</t>
  </si>
  <si>
    <t>fDcJDoCFxLELQm4C</t>
  </si>
  <si>
    <t>YUiWCngn14YJNMip</t>
  </si>
  <si>
    <t>VJmjy8VpFXkFj09p</t>
  </si>
  <si>
    <t>AehjWQizOawc5l6W</t>
  </si>
  <si>
    <t>Outliers Superiores a 50</t>
  </si>
  <si>
    <t>N' Válidos</t>
  </si>
  <si>
    <t>Nº Válidos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</si>
</sst>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Courier New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1" fillId="0" borderId="2" xfId="0" applyFont="1" applyBorder="1"/>
    <xf numFmtId="2" fontId="0" fillId="0" borderId="2" xfId="0" applyNumberFormat="1" applyBorder="1"/>
    <xf numFmtId="10" fontId="0" fillId="0" borderId="0" xfId="0" applyNumberFormat="1"/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2" fontId="5" fillId="0" borderId="16" xfId="0" applyNumberFormat="1" applyFont="1" applyBorder="1" applyAlignment="1">
      <alignment vertical="center" wrapText="1"/>
    </xf>
    <xf numFmtId="22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2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8" fillId="0" borderId="0" xfId="0" applyFont="1"/>
    <xf numFmtId="0" fontId="9" fillId="0" borderId="0" xfId="0" applyFont="1"/>
    <xf numFmtId="0" fontId="2" fillId="2" borderId="2" xfId="0" applyFont="1" applyFill="1" applyBorder="1" applyAlignment="1">
      <alignment horizontal="center" vertical="center" wrapText="1"/>
    </xf>
    <xf numFmtId="22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2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Válidos / Outliers -</a:t>
            </a:r>
            <a:r>
              <a:rPr lang="en-US" baseline="0"/>
              <a:t> </a:t>
            </a:r>
            <a:r>
              <a:rPr lang="en-US"/>
              <a:t>Final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0D3-486E-8E7F-6348532ECB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'Dados Recolhidos'!$T$7:$T$9</c15:sqref>
                  </c15:fullRef>
                </c:ext>
              </c:extLst>
              <c:f>'Dados Recolhidos'!$T$8:$T$9</c:f>
              <c:strCache>
                <c:ptCount val="2"/>
                <c:pt idx="0">
                  <c:v>Nº Válidos</c:v>
                </c:pt>
                <c:pt idx="1">
                  <c:v>Nº Total Outliers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Recolhidos'!$U$7:$U$9</c15:sqref>
                  </c15:fullRef>
                </c:ext>
              </c:extLst>
              <c:f>'Dados Recolhidos'!$U$8:$U$9</c:f>
              <c:numCache>
                <c:formatCode>General</c:formatCode>
                <c:ptCount val="2"/>
                <c:pt idx="0">
                  <c:v>33</c:v>
                </c:pt>
                <c:pt idx="1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'Dados Recolhidos'!$U$7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0D3-486E-8E7F-6348532ECB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Successos /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Recolhidos'!$K$42</c:f>
              <c:strCache>
                <c:ptCount val="1"/>
                <c:pt idx="0">
                  <c:v>Successes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'Dados Recolhidos'!$J$43:$J$75</c:f>
              <c:numCache>
                <c:formatCode>General</c:formatCode>
                <c:ptCount val="33"/>
                <c:pt idx="0">
                  <c:v>10.846</c:v>
                </c:pt>
                <c:pt idx="1">
                  <c:v>24.222999999999999</c:v>
                </c:pt>
                <c:pt idx="2">
                  <c:v>20.798999999999999</c:v>
                </c:pt>
                <c:pt idx="3">
                  <c:v>14.744999999999999</c:v>
                </c:pt>
                <c:pt idx="4">
                  <c:v>13.738</c:v>
                </c:pt>
                <c:pt idx="5">
                  <c:v>21.074999999999999</c:v>
                </c:pt>
                <c:pt idx="6">
                  <c:v>12.824</c:v>
                </c:pt>
                <c:pt idx="7">
                  <c:v>14.443</c:v>
                </c:pt>
                <c:pt idx="8">
                  <c:v>15.785</c:v>
                </c:pt>
                <c:pt idx="9">
                  <c:v>14.414</c:v>
                </c:pt>
                <c:pt idx="10">
                  <c:v>14.247</c:v>
                </c:pt>
                <c:pt idx="11">
                  <c:v>17.388999999999999</c:v>
                </c:pt>
                <c:pt idx="12">
                  <c:v>17.363</c:v>
                </c:pt>
                <c:pt idx="13">
                  <c:v>13.641999999999999</c:v>
                </c:pt>
                <c:pt idx="14">
                  <c:v>17.053999999999998</c:v>
                </c:pt>
                <c:pt idx="15">
                  <c:v>20.550999999999998</c:v>
                </c:pt>
                <c:pt idx="16">
                  <c:v>18.628</c:v>
                </c:pt>
                <c:pt idx="17">
                  <c:v>22.108000000000001</c:v>
                </c:pt>
                <c:pt idx="18">
                  <c:v>19.538</c:v>
                </c:pt>
                <c:pt idx="19">
                  <c:v>15.371</c:v>
                </c:pt>
                <c:pt idx="20">
                  <c:v>17.451000000000001</c:v>
                </c:pt>
                <c:pt idx="21">
                  <c:v>17.599</c:v>
                </c:pt>
                <c:pt idx="22">
                  <c:v>15.521000000000001</c:v>
                </c:pt>
                <c:pt idx="23">
                  <c:v>16.786999999999999</c:v>
                </c:pt>
                <c:pt idx="24">
                  <c:v>16.027999999999999</c:v>
                </c:pt>
                <c:pt idx="25">
                  <c:v>13.263999999999999</c:v>
                </c:pt>
                <c:pt idx="26">
                  <c:v>17.004999999999999</c:v>
                </c:pt>
                <c:pt idx="27">
                  <c:v>15.803000000000001</c:v>
                </c:pt>
                <c:pt idx="28">
                  <c:v>13.79</c:v>
                </c:pt>
                <c:pt idx="29">
                  <c:v>16.16</c:v>
                </c:pt>
                <c:pt idx="30">
                  <c:v>20.928999999999998</c:v>
                </c:pt>
                <c:pt idx="31">
                  <c:v>25.497</c:v>
                </c:pt>
                <c:pt idx="32">
                  <c:v>21.27</c:v>
                </c:pt>
              </c:numCache>
            </c:numRef>
          </c:xVal>
          <c:yVal>
            <c:numRef>
              <c:f>'Dados Recolhidos'!$K$43:$K$75</c:f>
              <c:numCache>
                <c:formatCode>General</c:formatCode>
                <c:ptCount val="33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17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20</c:v>
                </c:pt>
                <c:pt idx="18">
                  <c:v>19</c:v>
                </c:pt>
                <c:pt idx="19">
                  <c:v>18</c:v>
                </c:pt>
                <c:pt idx="20">
                  <c:v>20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20</c:v>
                </c:pt>
                <c:pt idx="26">
                  <c:v>18</c:v>
                </c:pt>
                <c:pt idx="27">
                  <c:v>20</c:v>
                </c:pt>
                <c:pt idx="28">
                  <c:v>19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3-42DC-8897-225135B2B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018735"/>
        <c:axId val="1501027855"/>
      </c:scatterChart>
      <c:valAx>
        <c:axId val="150101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27855"/>
        <c:crosses val="autoZero"/>
        <c:crossBetween val="midCat"/>
      </c:valAx>
      <c:valAx>
        <c:axId val="150102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Sucessos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1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/ Idade</a:t>
            </a:r>
          </a:p>
        </c:rich>
      </c:tx>
      <c:layout>
        <c:manualLayout>
          <c:xMode val="edge"/>
          <c:yMode val="edge"/>
          <c:x val="0.4384002211053028"/>
          <c:y val="3.4131262924706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6.9402693173837557E-2"/>
          <c:y val="9.373737409163603E-2"/>
          <c:w val="0.90298877574464376"/>
          <c:h val="0.813828123064595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'Dados Recolhidos'!$G$42</c:f>
              <c:strCache>
                <c:ptCount val="1"/>
                <c:pt idx="0">
                  <c:v>Total time (s)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'Dados Recolhidos'!$B$43:$B$75</c:f>
              <c:numCache>
                <c:formatCode>General</c:formatCode>
                <c:ptCount val="33"/>
                <c:pt idx="0">
                  <c:v>22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20</c:v>
                </c:pt>
                <c:pt idx="9">
                  <c:v>25</c:v>
                </c:pt>
                <c:pt idx="10">
                  <c:v>25</c:v>
                </c:pt>
                <c:pt idx="11">
                  <c:v>22</c:v>
                </c:pt>
                <c:pt idx="12">
                  <c:v>19</c:v>
                </c:pt>
                <c:pt idx="13">
                  <c:v>22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22</c:v>
                </c:pt>
                <c:pt idx="19">
                  <c:v>22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53</c:v>
                </c:pt>
                <c:pt idx="31">
                  <c:v>20</c:v>
                </c:pt>
                <c:pt idx="32">
                  <c:v>11</c:v>
                </c:pt>
              </c:numCache>
            </c:numRef>
          </c:xVal>
          <c:yVal>
            <c:numRef>
              <c:f>'Dados Recolhidos'!$G$43:$G$75</c:f>
              <c:numCache>
                <c:formatCode>General</c:formatCode>
                <c:ptCount val="33"/>
                <c:pt idx="0">
                  <c:v>10.846</c:v>
                </c:pt>
                <c:pt idx="1">
                  <c:v>24.222999999999999</c:v>
                </c:pt>
                <c:pt idx="2">
                  <c:v>20.798999999999999</c:v>
                </c:pt>
                <c:pt idx="3">
                  <c:v>14.744999999999999</c:v>
                </c:pt>
                <c:pt idx="4">
                  <c:v>13.738</c:v>
                </c:pt>
                <c:pt idx="5">
                  <c:v>21.074999999999999</c:v>
                </c:pt>
                <c:pt idx="6">
                  <c:v>12.824</c:v>
                </c:pt>
                <c:pt idx="7">
                  <c:v>14.443</c:v>
                </c:pt>
                <c:pt idx="8">
                  <c:v>15.785</c:v>
                </c:pt>
                <c:pt idx="9">
                  <c:v>14.414</c:v>
                </c:pt>
                <c:pt idx="10">
                  <c:v>14.247</c:v>
                </c:pt>
                <c:pt idx="11">
                  <c:v>17.388999999999999</c:v>
                </c:pt>
                <c:pt idx="12">
                  <c:v>17.363</c:v>
                </c:pt>
                <c:pt idx="13">
                  <c:v>13.641999999999999</c:v>
                </c:pt>
                <c:pt idx="14">
                  <c:v>17.053999999999998</c:v>
                </c:pt>
                <c:pt idx="15">
                  <c:v>20.550999999999998</c:v>
                </c:pt>
                <c:pt idx="16">
                  <c:v>18.628</c:v>
                </c:pt>
                <c:pt idx="17">
                  <c:v>22.108000000000001</c:v>
                </c:pt>
                <c:pt idx="18">
                  <c:v>19.538</c:v>
                </c:pt>
                <c:pt idx="19">
                  <c:v>15.371</c:v>
                </c:pt>
                <c:pt idx="20">
                  <c:v>17.451000000000001</c:v>
                </c:pt>
                <c:pt idx="21">
                  <c:v>17.599</c:v>
                </c:pt>
                <c:pt idx="22">
                  <c:v>15.521000000000001</c:v>
                </c:pt>
                <c:pt idx="23">
                  <c:v>16.786999999999999</c:v>
                </c:pt>
                <c:pt idx="24">
                  <c:v>16.027999999999999</c:v>
                </c:pt>
                <c:pt idx="25">
                  <c:v>13.263999999999999</c:v>
                </c:pt>
                <c:pt idx="26">
                  <c:v>17.004999999999999</c:v>
                </c:pt>
                <c:pt idx="27">
                  <c:v>15.803000000000001</c:v>
                </c:pt>
                <c:pt idx="28">
                  <c:v>13.79</c:v>
                </c:pt>
                <c:pt idx="29">
                  <c:v>16.16</c:v>
                </c:pt>
                <c:pt idx="30">
                  <c:v>20.928999999999998</c:v>
                </c:pt>
                <c:pt idx="31">
                  <c:v>25.497</c:v>
                </c:pt>
                <c:pt idx="32">
                  <c:v>21.27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6-4132-BA34-23EF95D66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505088"/>
        <c:axId val="767518528"/>
      </c:scatterChart>
      <c:valAx>
        <c:axId val="767505088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Idade (Anos)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7518528"/>
        <c:crosses val="autoZero"/>
        <c:crossBetween val="midCat"/>
      </c:valAx>
      <c:valAx>
        <c:axId val="76751852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750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Fornecidos'!$K$122</c:f>
              <c:strCache>
                <c:ptCount val="1"/>
                <c:pt idx="0">
                  <c:v>Successes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'Dados Fornecidos'!$J$123:$J$215</c:f>
              <c:numCache>
                <c:formatCode>General</c:formatCode>
                <c:ptCount val="93"/>
                <c:pt idx="0">
                  <c:v>24.353000000000002</c:v>
                </c:pt>
                <c:pt idx="1">
                  <c:v>19.001999999999999</c:v>
                </c:pt>
                <c:pt idx="2">
                  <c:v>17.699000000000002</c:v>
                </c:pt>
                <c:pt idx="3">
                  <c:v>21.652000000000001</c:v>
                </c:pt>
                <c:pt idx="4">
                  <c:v>18.216999999999999</c:v>
                </c:pt>
                <c:pt idx="5">
                  <c:v>17.837</c:v>
                </c:pt>
                <c:pt idx="6">
                  <c:v>29.446999999999999</c:v>
                </c:pt>
                <c:pt idx="7">
                  <c:v>25.306999999999999</c:v>
                </c:pt>
                <c:pt idx="8">
                  <c:v>20.526</c:v>
                </c:pt>
                <c:pt idx="9">
                  <c:v>19.692</c:v>
                </c:pt>
                <c:pt idx="10">
                  <c:v>17.161000000000001</c:v>
                </c:pt>
                <c:pt idx="11">
                  <c:v>16.841000000000001</c:v>
                </c:pt>
                <c:pt idx="12">
                  <c:v>23.177</c:v>
                </c:pt>
                <c:pt idx="13">
                  <c:v>22.504000000000001</c:v>
                </c:pt>
                <c:pt idx="14">
                  <c:v>23.736000000000001</c:v>
                </c:pt>
                <c:pt idx="15">
                  <c:v>22.373999999999999</c:v>
                </c:pt>
                <c:pt idx="16">
                  <c:v>25.829000000000001</c:v>
                </c:pt>
                <c:pt idx="17">
                  <c:v>19.457999999999998</c:v>
                </c:pt>
                <c:pt idx="18">
                  <c:v>18.731999999999999</c:v>
                </c:pt>
                <c:pt idx="19">
                  <c:v>22.282</c:v>
                </c:pt>
                <c:pt idx="20">
                  <c:v>18.861999999999998</c:v>
                </c:pt>
                <c:pt idx="21">
                  <c:v>20.347000000000001</c:v>
                </c:pt>
                <c:pt idx="22">
                  <c:v>18.628</c:v>
                </c:pt>
                <c:pt idx="23">
                  <c:v>21.157</c:v>
                </c:pt>
                <c:pt idx="24">
                  <c:v>18.225999999999999</c:v>
                </c:pt>
                <c:pt idx="25">
                  <c:v>18.395</c:v>
                </c:pt>
                <c:pt idx="26">
                  <c:v>24.035</c:v>
                </c:pt>
                <c:pt idx="27">
                  <c:v>18.968</c:v>
                </c:pt>
                <c:pt idx="28">
                  <c:v>26.077999999999999</c:v>
                </c:pt>
                <c:pt idx="29">
                  <c:v>19.515000000000001</c:v>
                </c:pt>
                <c:pt idx="30">
                  <c:v>20.361999999999998</c:v>
                </c:pt>
                <c:pt idx="31">
                  <c:v>19.722999999999999</c:v>
                </c:pt>
                <c:pt idx="32">
                  <c:v>18.79</c:v>
                </c:pt>
                <c:pt idx="33">
                  <c:v>20.818000000000001</c:v>
                </c:pt>
                <c:pt idx="34">
                  <c:v>18.263999999999999</c:v>
                </c:pt>
                <c:pt idx="35">
                  <c:v>19.638000000000002</c:v>
                </c:pt>
                <c:pt idx="36">
                  <c:v>17.806000000000001</c:v>
                </c:pt>
                <c:pt idx="37">
                  <c:v>20.646999999999998</c:v>
                </c:pt>
                <c:pt idx="38">
                  <c:v>20.347000000000001</c:v>
                </c:pt>
                <c:pt idx="39">
                  <c:v>19.917999999999999</c:v>
                </c:pt>
                <c:pt idx="40">
                  <c:v>19.041</c:v>
                </c:pt>
                <c:pt idx="41">
                  <c:v>21.471</c:v>
                </c:pt>
                <c:pt idx="42">
                  <c:v>18.311</c:v>
                </c:pt>
                <c:pt idx="43">
                  <c:v>17.942</c:v>
                </c:pt>
                <c:pt idx="44">
                  <c:v>18.77</c:v>
                </c:pt>
                <c:pt idx="45">
                  <c:v>16.390999999999998</c:v>
                </c:pt>
                <c:pt idx="46">
                  <c:v>17.952999999999999</c:v>
                </c:pt>
                <c:pt idx="47">
                  <c:v>23.640999999999998</c:v>
                </c:pt>
                <c:pt idx="48">
                  <c:v>18.946999999999999</c:v>
                </c:pt>
                <c:pt idx="49">
                  <c:v>18.283999999999999</c:v>
                </c:pt>
                <c:pt idx="50">
                  <c:v>16.696999999999999</c:v>
                </c:pt>
                <c:pt idx="51">
                  <c:v>18.988</c:v>
                </c:pt>
                <c:pt idx="52">
                  <c:v>19.937000000000001</c:v>
                </c:pt>
                <c:pt idx="53">
                  <c:v>25.763000000000002</c:v>
                </c:pt>
                <c:pt idx="54">
                  <c:v>22.898</c:v>
                </c:pt>
                <c:pt idx="55">
                  <c:v>25.068000000000001</c:v>
                </c:pt>
                <c:pt idx="56">
                  <c:v>18.692</c:v>
                </c:pt>
                <c:pt idx="57">
                  <c:v>16.989000000000001</c:v>
                </c:pt>
                <c:pt idx="58">
                  <c:v>18.876999999999999</c:v>
                </c:pt>
                <c:pt idx="59">
                  <c:v>16.396999999999998</c:v>
                </c:pt>
                <c:pt idx="60">
                  <c:v>16.608000000000001</c:v>
                </c:pt>
                <c:pt idx="61">
                  <c:v>15.773999999999999</c:v>
                </c:pt>
                <c:pt idx="62">
                  <c:v>19.766999999999999</c:v>
                </c:pt>
                <c:pt idx="63">
                  <c:v>21.795999999999999</c:v>
                </c:pt>
                <c:pt idx="64">
                  <c:v>16.715</c:v>
                </c:pt>
                <c:pt idx="65">
                  <c:v>22.338999999999999</c:v>
                </c:pt>
                <c:pt idx="66">
                  <c:v>20.495000000000001</c:v>
                </c:pt>
                <c:pt idx="67">
                  <c:v>23.239000000000001</c:v>
                </c:pt>
                <c:pt idx="68">
                  <c:v>21.957999999999998</c:v>
                </c:pt>
                <c:pt idx="69">
                  <c:v>27.187000000000001</c:v>
                </c:pt>
                <c:pt idx="70">
                  <c:v>20.943000000000001</c:v>
                </c:pt>
                <c:pt idx="71">
                  <c:v>19.603999999999999</c:v>
                </c:pt>
                <c:pt idx="72">
                  <c:v>15.935</c:v>
                </c:pt>
                <c:pt idx="73">
                  <c:v>22.094999999999999</c:v>
                </c:pt>
                <c:pt idx="74">
                  <c:v>25.021999999999998</c:v>
                </c:pt>
                <c:pt idx="75">
                  <c:v>27.702999999999999</c:v>
                </c:pt>
                <c:pt idx="76">
                  <c:v>25.678000000000001</c:v>
                </c:pt>
                <c:pt idx="77">
                  <c:v>19.09</c:v>
                </c:pt>
                <c:pt idx="78">
                  <c:v>23.184000000000001</c:v>
                </c:pt>
                <c:pt idx="79">
                  <c:v>17.195</c:v>
                </c:pt>
                <c:pt idx="80">
                  <c:v>19.613</c:v>
                </c:pt>
                <c:pt idx="81">
                  <c:v>13.272</c:v>
                </c:pt>
                <c:pt idx="82">
                  <c:v>11.938000000000001</c:v>
                </c:pt>
                <c:pt idx="83">
                  <c:v>11.699</c:v>
                </c:pt>
                <c:pt idx="84">
                  <c:v>12.46</c:v>
                </c:pt>
                <c:pt idx="85">
                  <c:v>12.204000000000001</c:v>
                </c:pt>
                <c:pt idx="86">
                  <c:v>15.105</c:v>
                </c:pt>
                <c:pt idx="87">
                  <c:v>12.606999999999999</c:v>
                </c:pt>
                <c:pt idx="88">
                  <c:v>15.13</c:v>
                </c:pt>
                <c:pt idx="89">
                  <c:v>12.439</c:v>
                </c:pt>
                <c:pt idx="90">
                  <c:v>12.443</c:v>
                </c:pt>
                <c:pt idx="91">
                  <c:v>12.846</c:v>
                </c:pt>
                <c:pt idx="92">
                  <c:v>20.751000000000001</c:v>
                </c:pt>
              </c:numCache>
            </c:numRef>
          </c:xVal>
          <c:yVal>
            <c:numRef>
              <c:f>'Dados Fornecidos'!$K$123:$K$215</c:f>
              <c:numCache>
                <c:formatCode>General</c:formatCode>
                <c:ptCount val="9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32-4B55-805B-0117149E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210480"/>
        <c:axId val="1260212880"/>
      </c:scatterChart>
      <c:valAx>
        <c:axId val="126021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60212880"/>
        <c:crosses val="autoZero"/>
        <c:crossBetween val="midCat"/>
      </c:valAx>
      <c:valAx>
        <c:axId val="12602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6021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Fornecidos'!$G$122</c:f>
              <c:strCache>
                <c:ptCount val="1"/>
                <c:pt idx="0">
                  <c:v>Total 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'Dados Fornecidos'!$G$123:$G$215</c:f>
              <c:numCache>
                <c:formatCode>General</c:formatCode>
                <c:ptCount val="93"/>
                <c:pt idx="0">
                  <c:v>24.353000000000002</c:v>
                </c:pt>
                <c:pt idx="1">
                  <c:v>19.001999999999999</c:v>
                </c:pt>
                <c:pt idx="2">
                  <c:v>17.699000000000002</c:v>
                </c:pt>
                <c:pt idx="3">
                  <c:v>21.652000000000001</c:v>
                </c:pt>
                <c:pt idx="4">
                  <c:v>18.216999999999999</c:v>
                </c:pt>
                <c:pt idx="5">
                  <c:v>17.837</c:v>
                </c:pt>
                <c:pt idx="6">
                  <c:v>29.446999999999999</c:v>
                </c:pt>
                <c:pt idx="7">
                  <c:v>25.306999999999999</c:v>
                </c:pt>
                <c:pt idx="8">
                  <c:v>20.526</c:v>
                </c:pt>
                <c:pt idx="9">
                  <c:v>19.692</c:v>
                </c:pt>
                <c:pt idx="10">
                  <c:v>17.161000000000001</c:v>
                </c:pt>
                <c:pt idx="11">
                  <c:v>16.841000000000001</c:v>
                </c:pt>
                <c:pt idx="12">
                  <c:v>23.177</c:v>
                </c:pt>
                <c:pt idx="13">
                  <c:v>22.504000000000001</c:v>
                </c:pt>
                <c:pt idx="14">
                  <c:v>23.736000000000001</c:v>
                </c:pt>
                <c:pt idx="15">
                  <c:v>22.373999999999999</c:v>
                </c:pt>
                <c:pt idx="16">
                  <c:v>25.829000000000001</c:v>
                </c:pt>
                <c:pt idx="17">
                  <c:v>19.457999999999998</c:v>
                </c:pt>
                <c:pt idx="18">
                  <c:v>18.731999999999999</c:v>
                </c:pt>
                <c:pt idx="19">
                  <c:v>22.282</c:v>
                </c:pt>
                <c:pt idx="20">
                  <c:v>18.861999999999998</c:v>
                </c:pt>
                <c:pt idx="21">
                  <c:v>20.347000000000001</c:v>
                </c:pt>
                <c:pt idx="22">
                  <c:v>18.628</c:v>
                </c:pt>
                <c:pt idx="23">
                  <c:v>21.157</c:v>
                </c:pt>
                <c:pt idx="24">
                  <c:v>18.225999999999999</c:v>
                </c:pt>
                <c:pt idx="25">
                  <c:v>18.395</c:v>
                </c:pt>
                <c:pt idx="26">
                  <c:v>24.035</c:v>
                </c:pt>
                <c:pt idx="27">
                  <c:v>18.968</c:v>
                </c:pt>
                <c:pt idx="28">
                  <c:v>26.077999999999999</c:v>
                </c:pt>
                <c:pt idx="29">
                  <c:v>19.515000000000001</c:v>
                </c:pt>
                <c:pt idx="30">
                  <c:v>20.361999999999998</c:v>
                </c:pt>
                <c:pt idx="31">
                  <c:v>19.722999999999999</c:v>
                </c:pt>
                <c:pt idx="32">
                  <c:v>18.79</c:v>
                </c:pt>
                <c:pt idx="33">
                  <c:v>20.818000000000001</c:v>
                </c:pt>
                <c:pt idx="34">
                  <c:v>18.263999999999999</c:v>
                </c:pt>
                <c:pt idx="35">
                  <c:v>19.638000000000002</c:v>
                </c:pt>
                <c:pt idx="36">
                  <c:v>17.806000000000001</c:v>
                </c:pt>
                <c:pt idx="37">
                  <c:v>20.646999999999998</c:v>
                </c:pt>
                <c:pt idx="38">
                  <c:v>20.347000000000001</c:v>
                </c:pt>
                <c:pt idx="39">
                  <c:v>19.917999999999999</c:v>
                </c:pt>
                <c:pt idx="40">
                  <c:v>19.041</c:v>
                </c:pt>
                <c:pt idx="41">
                  <c:v>21.471</c:v>
                </c:pt>
                <c:pt idx="42">
                  <c:v>18.311</c:v>
                </c:pt>
                <c:pt idx="43">
                  <c:v>17.942</c:v>
                </c:pt>
                <c:pt idx="44">
                  <c:v>18.77</c:v>
                </c:pt>
                <c:pt idx="45">
                  <c:v>16.390999999999998</c:v>
                </c:pt>
                <c:pt idx="46">
                  <c:v>17.952999999999999</c:v>
                </c:pt>
                <c:pt idx="47">
                  <c:v>23.640999999999998</c:v>
                </c:pt>
                <c:pt idx="48">
                  <c:v>18.946999999999999</c:v>
                </c:pt>
                <c:pt idx="49">
                  <c:v>18.283999999999999</c:v>
                </c:pt>
                <c:pt idx="50">
                  <c:v>16.696999999999999</c:v>
                </c:pt>
                <c:pt idx="51">
                  <c:v>18.988</c:v>
                </c:pt>
                <c:pt idx="52">
                  <c:v>19.937000000000001</c:v>
                </c:pt>
                <c:pt idx="53">
                  <c:v>25.763000000000002</c:v>
                </c:pt>
                <c:pt idx="54">
                  <c:v>22.898</c:v>
                </c:pt>
                <c:pt idx="55">
                  <c:v>25.068000000000001</c:v>
                </c:pt>
                <c:pt idx="56">
                  <c:v>18.692</c:v>
                </c:pt>
                <c:pt idx="57">
                  <c:v>16.989000000000001</c:v>
                </c:pt>
                <c:pt idx="58">
                  <c:v>18.876999999999999</c:v>
                </c:pt>
                <c:pt idx="59">
                  <c:v>16.396999999999998</c:v>
                </c:pt>
                <c:pt idx="60">
                  <c:v>16.608000000000001</c:v>
                </c:pt>
                <c:pt idx="61">
                  <c:v>15.773999999999999</c:v>
                </c:pt>
                <c:pt idx="62">
                  <c:v>19.766999999999999</c:v>
                </c:pt>
                <c:pt idx="63">
                  <c:v>21.795999999999999</c:v>
                </c:pt>
                <c:pt idx="64">
                  <c:v>16.715</c:v>
                </c:pt>
                <c:pt idx="65">
                  <c:v>22.338999999999999</c:v>
                </c:pt>
                <c:pt idx="66">
                  <c:v>20.495000000000001</c:v>
                </c:pt>
                <c:pt idx="67">
                  <c:v>23.239000000000001</c:v>
                </c:pt>
                <c:pt idx="68">
                  <c:v>21.957999999999998</c:v>
                </c:pt>
                <c:pt idx="69">
                  <c:v>27.187000000000001</c:v>
                </c:pt>
                <c:pt idx="70">
                  <c:v>20.943000000000001</c:v>
                </c:pt>
                <c:pt idx="71">
                  <c:v>19.603999999999999</c:v>
                </c:pt>
                <c:pt idx="72">
                  <c:v>15.935</c:v>
                </c:pt>
                <c:pt idx="73">
                  <c:v>22.094999999999999</c:v>
                </c:pt>
                <c:pt idx="74">
                  <c:v>25.021999999999998</c:v>
                </c:pt>
                <c:pt idx="75">
                  <c:v>27.702999999999999</c:v>
                </c:pt>
                <c:pt idx="76">
                  <c:v>25.678000000000001</c:v>
                </c:pt>
                <c:pt idx="77">
                  <c:v>19.09</c:v>
                </c:pt>
                <c:pt idx="78">
                  <c:v>23.184000000000001</c:v>
                </c:pt>
                <c:pt idx="79">
                  <c:v>17.195</c:v>
                </c:pt>
                <c:pt idx="80">
                  <c:v>19.613</c:v>
                </c:pt>
                <c:pt idx="81">
                  <c:v>13.272</c:v>
                </c:pt>
                <c:pt idx="82">
                  <c:v>11.938000000000001</c:v>
                </c:pt>
                <c:pt idx="83">
                  <c:v>11.699</c:v>
                </c:pt>
                <c:pt idx="84">
                  <c:v>12.46</c:v>
                </c:pt>
                <c:pt idx="85">
                  <c:v>12.204000000000001</c:v>
                </c:pt>
                <c:pt idx="86">
                  <c:v>15.105</c:v>
                </c:pt>
                <c:pt idx="87">
                  <c:v>12.606999999999999</c:v>
                </c:pt>
                <c:pt idx="88">
                  <c:v>15.13</c:v>
                </c:pt>
                <c:pt idx="89">
                  <c:v>12.439</c:v>
                </c:pt>
                <c:pt idx="90">
                  <c:v>12.443</c:v>
                </c:pt>
                <c:pt idx="91">
                  <c:v>12.846</c:v>
                </c:pt>
                <c:pt idx="92">
                  <c:v>20.751000000000001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AD-4111-820D-79FE460CF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530528"/>
        <c:axId val="767531008"/>
      </c:scatterChart>
      <c:valAx>
        <c:axId val="76753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7531008"/>
        <c:crosses val="autoZero"/>
        <c:crossBetween val="midCat"/>
      </c:valAx>
      <c:valAx>
        <c:axId val="7675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753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Tempo/Idade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Fornecidos'!$G$122</c:f>
              <c:strCache>
                <c:ptCount val="1"/>
                <c:pt idx="0">
                  <c:v>Total 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'Dados Fornecidos'!$B$123:$B$215</c:f>
              <c:numCache>
                <c:formatCode>General</c:formatCode>
                <c:ptCount val="93"/>
                <c:pt idx="0">
                  <c:v>42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23</c:v>
                </c:pt>
                <c:pt idx="7">
                  <c:v>23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29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28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19</c:v>
                </c:pt>
                <c:pt idx="32">
                  <c:v>30</c:v>
                </c:pt>
                <c:pt idx="33">
                  <c:v>35</c:v>
                </c:pt>
                <c:pt idx="34">
                  <c:v>30</c:v>
                </c:pt>
                <c:pt idx="35">
                  <c:v>35</c:v>
                </c:pt>
                <c:pt idx="36">
                  <c:v>30</c:v>
                </c:pt>
                <c:pt idx="37">
                  <c:v>35</c:v>
                </c:pt>
                <c:pt idx="38">
                  <c:v>29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99</c:v>
                </c:pt>
                <c:pt idx="45">
                  <c:v>99</c:v>
                </c:pt>
                <c:pt idx="46">
                  <c:v>30</c:v>
                </c:pt>
                <c:pt idx="47">
                  <c:v>150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21</c:v>
                </c:pt>
                <c:pt idx="61">
                  <c:v>20</c:v>
                </c:pt>
                <c:pt idx="62">
                  <c:v>20</c:v>
                </c:pt>
                <c:pt idx="63">
                  <c:v>19</c:v>
                </c:pt>
                <c:pt idx="64">
                  <c:v>21</c:v>
                </c:pt>
                <c:pt idx="65">
                  <c:v>20</c:v>
                </c:pt>
                <c:pt idx="66">
                  <c:v>20</c:v>
                </c:pt>
                <c:pt idx="67">
                  <c:v>19</c:v>
                </c:pt>
                <c:pt idx="68">
                  <c:v>20</c:v>
                </c:pt>
                <c:pt idx="69">
                  <c:v>37</c:v>
                </c:pt>
                <c:pt idx="70">
                  <c:v>19</c:v>
                </c:pt>
                <c:pt idx="71">
                  <c:v>22</c:v>
                </c:pt>
                <c:pt idx="72">
                  <c:v>20</c:v>
                </c:pt>
                <c:pt idx="73">
                  <c:v>19</c:v>
                </c:pt>
                <c:pt idx="74">
                  <c:v>14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7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25</c:v>
                </c:pt>
                <c:pt idx="87">
                  <c:v>19</c:v>
                </c:pt>
                <c:pt idx="88">
                  <c:v>25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43</c:v>
                </c:pt>
              </c:numCache>
            </c:numRef>
          </c:xVal>
          <c:yVal>
            <c:numRef>
              <c:f>'Dados Fornecidos'!$G$123:$G$215</c:f>
              <c:numCache>
                <c:formatCode>General</c:formatCode>
                <c:ptCount val="93"/>
                <c:pt idx="0">
                  <c:v>24.353000000000002</c:v>
                </c:pt>
                <c:pt idx="1">
                  <c:v>19.001999999999999</c:v>
                </c:pt>
                <c:pt idx="2">
                  <c:v>17.699000000000002</c:v>
                </c:pt>
                <c:pt idx="3">
                  <c:v>21.652000000000001</c:v>
                </c:pt>
                <c:pt idx="4">
                  <c:v>18.216999999999999</c:v>
                </c:pt>
                <c:pt idx="5">
                  <c:v>17.837</c:v>
                </c:pt>
                <c:pt idx="6">
                  <c:v>29.446999999999999</c:v>
                </c:pt>
                <c:pt idx="7">
                  <c:v>25.306999999999999</c:v>
                </c:pt>
                <c:pt idx="8">
                  <c:v>20.526</c:v>
                </c:pt>
                <c:pt idx="9">
                  <c:v>19.692</c:v>
                </c:pt>
                <c:pt idx="10">
                  <c:v>17.161000000000001</c:v>
                </c:pt>
                <c:pt idx="11">
                  <c:v>16.841000000000001</c:v>
                </c:pt>
                <c:pt idx="12">
                  <c:v>23.177</c:v>
                </c:pt>
                <c:pt idx="13">
                  <c:v>22.504000000000001</c:v>
                </c:pt>
                <c:pt idx="14">
                  <c:v>23.736000000000001</c:v>
                </c:pt>
                <c:pt idx="15">
                  <c:v>22.373999999999999</c:v>
                </c:pt>
                <c:pt idx="16">
                  <c:v>25.829000000000001</c:v>
                </c:pt>
                <c:pt idx="17">
                  <c:v>19.457999999999998</c:v>
                </c:pt>
                <c:pt idx="18">
                  <c:v>18.731999999999999</c:v>
                </c:pt>
                <c:pt idx="19">
                  <c:v>22.282</c:v>
                </c:pt>
                <c:pt idx="20">
                  <c:v>18.861999999999998</c:v>
                </c:pt>
                <c:pt idx="21">
                  <c:v>20.347000000000001</c:v>
                </c:pt>
                <c:pt idx="22">
                  <c:v>18.628</c:v>
                </c:pt>
                <c:pt idx="23">
                  <c:v>21.157</c:v>
                </c:pt>
                <c:pt idx="24">
                  <c:v>18.225999999999999</c:v>
                </c:pt>
                <c:pt idx="25">
                  <c:v>18.395</c:v>
                </c:pt>
                <c:pt idx="26">
                  <c:v>24.035</c:v>
                </c:pt>
                <c:pt idx="27">
                  <c:v>18.968</c:v>
                </c:pt>
                <c:pt idx="28">
                  <c:v>26.077999999999999</c:v>
                </c:pt>
                <c:pt idx="29">
                  <c:v>19.515000000000001</c:v>
                </c:pt>
                <c:pt idx="30">
                  <c:v>20.361999999999998</c:v>
                </c:pt>
                <c:pt idx="31">
                  <c:v>19.722999999999999</c:v>
                </c:pt>
                <c:pt idx="32">
                  <c:v>18.79</c:v>
                </c:pt>
                <c:pt idx="33">
                  <c:v>20.818000000000001</c:v>
                </c:pt>
                <c:pt idx="34">
                  <c:v>18.263999999999999</c:v>
                </c:pt>
                <c:pt idx="35">
                  <c:v>19.638000000000002</c:v>
                </c:pt>
                <c:pt idx="36">
                  <c:v>17.806000000000001</c:v>
                </c:pt>
                <c:pt idx="37">
                  <c:v>20.646999999999998</c:v>
                </c:pt>
                <c:pt idx="38">
                  <c:v>20.347000000000001</c:v>
                </c:pt>
                <c:pt idx="39">
                  <c:v>19.917999999999999</c:v>
                </c:pt>
                <c:pt idx="40">
                  <c:v>19.041</c:v>
                </c:pt>
                <c:pt idx="41">
                  <c:v>21.471</c:v>
                </c:pt>
                <c:pt idx="42">
                  <c:v>18.311</c:v>
                </c:pt>
                <c:pt idx="43">
                  <c:v>17.942</c:v>
                </c:pt>
                <c:pt idx="44">
                  <c:v>18.77</c:v>
                </c:pt>
                <c:pt idx="45">
                  <c:v>16.390999999999998</c:v>
                </c:pt>
                <c:pt idx="46">
                  <c:v>17.952999999999999</c:v>
                </c:pt>
                <c:pt idx="47">
                  <c:v>23.640999999999998</c:v>
                </c:pt>
                <c:pt idx="48">
                  <c:v>18.946999999999999</c:v>
                </c:pt>
                <c:pt idx="49">
                  <c:v>18.283999999999999</c:v>
                </c:pt>
                <c:pt idx="50">
                  <c:v>16.696999999999999</c:v>
                </c:pt>
                <c:pt idx="51">
                  <c:v>18.988</c:v>
                </c:pt>
                <c:pt idx="52">
                  <c:v>19.937000000000001</c:v>
                </c:pt>
                <c:pt idx="53">
                  <c:v>25.763000000000002</c:v>
                </c:pt>
                <c:pt idx="54">
                  <c:v>22.898</c:v>
                </c:pt>
                <c:pt idx="55">
                  <c:v>25.068000000000001</c:v>
                </c:pt>
                <c:pt idx="56">
                  <c:v>18.692</c:v>
                </c:pt>
                <c:pt idx="57">
                  <c:v>16.989000000000001</c:v>
                </c:pt>
                <c:pt idx="58">
                  <c:v>18.876999999999999</c:v>
                </c:pt>
                <c:pt idx="59">
                  <c:v>16.396999999999998</c:v>
                </c:pt>
                <c:pt idx="60">
                  <c:v>16.608000000000001</c:v>
                </c:pt>
                <c:pt idx="61">
                  <c:v>15.773999999999999</c:v>
                </c:pt>
                <c:pt idx="62">
                  <c:v>19.766999999999999</c:v>
                </c:pt>
                <c:pt idx="63">
                  <c:v>21.795999999999999</c:v>
                </c:pt>
                <c:pt idx="64">
                  <c:v>16.715</c:v>
                </c:pt>
                <c:pt idx="65">
                  <c:v>22.338999999999999</c:v>
                </c:pt>
                <c:pt idx="66">
                  <c:v>20.495000000000001</c:v>
                </c:pt>
                <c:pt idx="67">
                  <c:v>23.239000000000001</c:v>
                </c:pt>
                <c:pt idx="68">
                  <c:v>21.957999999999998</c:v>
                </c:pt>
                <c:pt idx="69">
                  <c:v>27.187000000000001</c:v>
                </c:pt>
                <c:pt idx="70">
                  <c:v>20.943000000000001</c:v>
                </c:pt>
                <c:pt idx="71">
                  <c:v>19.603999999999999</c:v>
                </c:pt>
                <c:pt idx="72">
                  <c:v>15.935</c:v>
                </c:pt>
                <c:pt idx="73">
                  <c:v>22.094999999999999</c:v>
                </c:pt>
                <c:pt idx="74">
                  <c:v>25.021999999999998</c:v>
                </c:pt>
                <c:pt idx="75">
                  <c:v>27.702999999999999</c:v>
                </c:pt>
                <c:pt idx="76">
                  <c:v>25.678000000000001</c:v>
                </c:pt>
                <c:pt idx="77">
                  <c:v>19.09</c:v>
                </c:pt>
                <c:pt idx="78">
                  <c:v>23.184000000000001</c:v>
                </c:pt>
                <c:pt idx="79">
                  <c:v>17.195</c:v>
                </c:pt>
                <c:pt idx="80">
                  <c:v>19.613</c:v>
                </c:pt>
                <c:pt idx="81">
                  <c:v>13.272</c:v>
                </c:pt>
                <c:pt idx="82">
                  <c:v>11.938000000000001</c:v>
                </c:pt>
                <c:pt idx="83">
                  <c:v>11.699</c:v>
                </c:pt>
                <c:pt idx="84">
                  <c:v>12.46</c:v>
                </c:pt>
                <c:pt idx="85">
                  <c:v>12.204000000000001</c:v>
                </c:pt>
                <c:pt idx="86">
                  <c:v>15.105</c:v>
                </c:pt>
                <c:pt idx="87">
                  <c:v>12.606999999999999</c:v>
                </c:pt>
                <c:pt idx="88">
                  <c:v>15.13</c:v>
                </c:pt>
                <c:pt idx="89">
                  <c:v>12.439</c:v>
                </c:pt>
                <c:pt idx="90">
                  <c:v>12.443</c:v>
                </c:pt>
                <c:pt idx="91">
                  <c:v>12.846</c:v>
                </c:pt>
                <c:pt idx="92">
                  <c:v>20.751000000000001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4-46BD-8F88-AC7EA2D71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153936"/>
        <c:axId val="1123162576"/>
      </c:scatterChart>
      <c:valAx>
        <c:axId val="112315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Idade</a:t>
                </a:r>
                <a:r>
                  <a:rPr lang="pt-PT" baseline="0"/>
                  <a:t> (anos)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23162576"/>
        <c:crosses val="autoZero"/>
        <c:crossBetween val="midCat"/>
      </c:valAx>
      <c:valAx>
        <c:axId val="11231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(s)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2315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Válidos / Outliers -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D4-4BBF-B1C3-435477E61E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4.7940726159230097E-2"/>
                  <c:y val="-0.161792067658209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D4-4BBF-B1C3-435477E61EF2}"/>
                </c:ext>
              </c:extLst>
            </c:dLbl>
            <c:dLbl>
              <c:idx val="1"/>
              <c:layout>
                <c:manualLayout>
                  <c:x val="5.5555118110236168E-2"/>
                  <c:y val="0.157503645377661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'Dados Fornecidos'!$T$7:$T$9</c15:sqref>
                  </c15:fullRef>
                </c:ext>
              </c:extLst>
              <c:f>'Dados Fornecidos'!$T$8:$T$9</c:f>
              <c:strCache>
                <c:ptCount val="2"/>
                <c:pt idx="0">
                  <c:v>N' Válidos</c:v>
                </c:pt>
                <c:pt idx="1">
                  <c:v>Nº Total Outliers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Fornecidos'!$U$7:$U$9</c15:sqref>
                  </c15:fullRef>
                </c:ext>
              </c:extLst>
              <c:f>'Dados Fornecidos'!$U$8:$U$9</c:f>
              <c:numCache>
                <c:formatCode>General</c:formatCode>
                <c:ptCount val="2"/>
                <c:pt idx="0">
                  <c:v>88</c:v>
                </c:pt>
                <c:pt idx="1">
                  <c:v>18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'Dados Fornecidos'!$U$7</c15:sqref>
                  <c15:dLbl>
                    <c:idx val="-1"/>
                    <c:layout>
                      <c:manualLayout>
                        <c:x val="-8.3456364829396321E-2"/>
                        <c:y val="-0.21560367454068241"/>
                      </c:manualLayout>
                    </c:layout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0" i="0" u="none" strike="noStrike" kern="1200" baseline="0">
                              <a:solidFill>
                                <a:schemeClr val="bg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0857DAFC-DF91-4302-8A0A-905C0F16292A}" type="VALUE">
                            <a:rPr lang="en-US" sz="2000"/>
                            <a:pPr>
                              <a:defRPr sz="2000">
                                <a:solidFill>
                                  <a:schemeClr val="bg1"/>
                                </a:solidFill>
                              </a:defRPr>
                            </a:pPr>
                            <a:t>[VALOR]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DBD4-4BBF-B1C3-435477E61EF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DBD4-4BBF-B1C3-435477E61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Quartis (Tempo)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(Tempo)</a:t>
          </a:r>
        </a:p>
      </cx:txPr>
    </cx:title>
    <cx:plotArea>
      <cx:plotAreaRegion>
        <cx:series layoutId="boxWhisker" uniqueId="{3E417C4C-D8A6-4CE4-AE7A-68B3A637035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Quartis (Sucessos)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(Sucessos)</a:t>
          </a:r>
        </a:p>
      </cx:txPr>
    </cx:title>
    <cx:plotArea>
      <cx:plotAreaRegion>
        <cx:series layoutId="boxWhisker" uniqueId="{1E3A6D68-0ED8-4E28-BC08-C245074A43D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23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Quartis (Enganos)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(Enganos)</a:t>
          </a:r>
        </a:p>
      </cx:txPr>
    </cx:title>
    <cx:plotArea>
      <cx:plotAreaRegion>
        <cx:series layoutId="boxWhisker" uniqueId="{24FAF59F-C820-482D-B705-64079952FB26}">
          <cx:tx>
            <cx:txData>
              <cx:f>_xlchart.v1.2</cx:f>
              <cx:v>Mistakes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Quartis (tempo) </a:t>
            </a:r>
          </a:p>
          <a:p>
            <a:pPr algn="ctr" rtl="0"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-sem outliers superiores a  50</a:t>
            </a:r>
          </a:p>
        </cx:rich>
      </cx:tx>
    </cx:title>
    <cx:plotArea>
      <cx:plotAreaRegion>
        <cx:series layoutId="boxWhisker" uniqueId="{A6824609-CC46-415D-9A41-7208B396BD7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Quartis (tempo)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(tempo)</a:t>
          </a:r>
        </a:p>
      </cx:txPr>
    </cx:title>
    <cx:plotArea>
      <cx:plotAreaRegion>
        <cx:series layoutId="boxWhisker" uniqueId="{7537F4A4-7259-4380-B603-24BC6D4954E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Quartis (Sucessos)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(Sucessos)</a:t>
          </a:r>
        </a:p>
      </cx:txPr>
    </cx:title>
    <cx:plotArea>
      <cx:plotAreaRegion>
        <cx:series layoutId="boxWhisker" uniqueId="{72A3A324-7D47-4FCC-A514-D0D39A0BDDC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Título do Gráfico</cx:v>
        </cx:txData>
      </cx:tx>
    </cx:title>
    <cx:plotArea>
      <cx:plotAreaRegion>
        <cx:series layoutId="boxWhisker" uniqueId="{7B64C19F-5BB7-4692-ACAC-4A18D7AF2E3A}">
          <cx:tx>
            <cx:txData>
              <cx:f>_xlchart.v1.7</cx:f>
              <cx:v>Mistakes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3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microsoft.com/office/2014/relationships/chartEx" Target="../charts/chartEx6.xml"/><Relationship Id="rId7" Type="http://schemas.microsoft.com/office/2014/relationships/chartEx" Target="../charts/chartEx7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350303</xdr:colOff>
      <xdr:row>30</xdr:row>
      <xdr:rowOff>221496</xdr:rowOff>
    </xdr:from>
    <xdr:to>
      <xdr:col>15</xdr:col>
      <xdr:colOff>1073339</xdr:colOff>
      <xdr:row>46</xdr:row>
      <xdr:rowOff>104863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7F3D77F-4865-615C-ABFB-8517203CF4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94853" y="7889121"/>
              <a:ext cx="4523511" cy="42934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16</xdr:col>
      <xdr:colOff>469445</xdr:colOff>
      <xdr:row>30</xdr:row>
      <xdr:rowOff>186417</xdr:rowOff>
    </xdr:from>
    <xdr:to>
      <xdr:col>21</xdr:col>
      <xdr:colOff>251730</xdr:colOff>
      <xdr:row>45</xdr:row>
      <xdr:rowOff>217714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DFE6031-1080-04A0-B09C-7E760400FB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90795" y="7854042"/>
              <a:ext cx="4573360" cy="4203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19</xdr:col>
      <xdr:colOff>197303</xdr:colOff>
      <xdr:row>10</xdr:row>
      <xdr:rowOff>81643</xdr:rowOff>
    </xdr:from>
    <xdr:to>
      <xdr:col>24</xdr:col>
      <xdr:colOff>163286</xdr:colOff>
      <xdr:row>18</xdr:row>
      <xdr:rowOff>187778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FE295C-BFF1-4B6B-8B7D-099243069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88445</xdr:colOff>
      <xdr:row>53</xdr:row>
      <xdr:rowOff>97974</xdr:rowOff>
    </xdr:from>
    <xdr:to>
      <xdr:col>16</xdr:col>
      <xdr:colOff>401410</xdr:colOff>
      <xdr:row>64</xdr:row>
      <xdr:rowOff>146959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BBC731A1-06CB-B4BD-741B-8B40F3761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507829</xdr:colOff>
      <xdr:row>67</xdr:row>
      <xdr:rowOff>697</xdr:rowOff>
    </xdr:from>
    <xdr:to>
      <xdr:col>19</xdr:col>
      <xdr:colOff>998928</xdr:colOff>
      <xdr:row>98</xdr:row>
      <xdr:rowOff>100263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CBFD4F-C855-EDDE-8B56-F7D63129E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318541</xdr:colOff>
      <xdr:row>48</xdr:row>
      <xdr:rowOff>146154</xdr:rowOff>
    </xdr:from>
    <xdr:to>
      <xdr:col>20</xdr:col>
      <xdr:colOff>668312</xdr:colOff>
      <xdr:row>60</xdr:row>
      <xdr:rowOff>191124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FBC186D0-44D8-B6F1-5372-CD58C7208E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39891" y="12700104"/>
              <a:ext cx="4455046" cy="2902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10582</xdr:colOff>
      <xdr:row>57</xdr:row>
      <xdr:rowOff>28725</xdr:rowOff>
    </xdr:from>
    <xdr:to>
      <xdr:col>17</xdr:col>
      <xdr:colOff>216201</xdr:colOff>
      <xdr:row>83</xdr:row>
      <xdr:rowOff>71058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F83037-2F42-2089-5929-52913EBF62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9132" y="22993500"/>
              <a:ext cx="4672844" cy="100054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19</xdr:col>
      <xdr:colOff>443969</xdr:colOff>
      <xdr:row>45</xdr:row>
      <xdr:rowOff>106363</xdr:rowOff>
    </xdr:from>
    <xdr:to>
      <xdr:col>27</xdr:col>
      <xdr:colOff>95777</xdr:colOff>
      <xdr:row>66</xdr:row>
      <xdr:rowOff>32279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554EB46-DDD5-8A41-FAB4-22DC0963D9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02719" y="18384838"/>
              <a:ext cx="4519083" cy="81269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20</xdr:col>
      <xdr:colOff>486833</xdr:colOff>
      <xdr:row>26</xdr:row>
      <xdr:rowOff>92679</xdr:rowOff>
    </xdr:from>
    <xdr:to>
      <xdr:col>28</xdr:col>
      <xdr:colOff>148166</xdr:colOff>
      <xdr:row>40</xdr:row>
      <xdr:rowOff>61988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D0F662A-A6DC-FCB3-3077-69EAD39454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55183" y="10951179"/>
              <a:ext cx="4528608" cy="54366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12</xdr:col>
      <xdr:colOff>461596</xdr:colOff>
      <xdr:row>122</xdr:row>
      <xdr:rowOff>48603</xdr:rowOff>
    </xdr:from>
    <xdr:to>
      <xdr:col>20</xdr:col>
      <xdr:colOff>298775</xdr:colOff>
      <xdr:row>133</xdr:row>
      <xdr:rowOff>230636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3A8A67-D244-1920-0509-0C5B7BABA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113109</xdr:colOff>
      <xdr:row>188</xdr:row>
      <xdr:rowOff>205978</xdr:rowOff>
    </xdr:from>
    <xdr:to>
      <xdr:col>19</xdr:col>
      <xdr:colOff>601266</xdr:colOff>
      <xdr:row>201</xdr:row>
      <xdr:rowOff>8334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C3B05E-8193-17E1-42C0-AFF4A386B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128788</xdr:colOff>
      <xdr:row>201</xdr:row>
      <xdr:rowOff>104105</xdr:rowOff>
    </xdr:from>
    <xdr:to>
      <xdr:col>21</xdr:col>
      <xdr:colOff>0</xdr:colOff>
      <xdr:row>213</xdr:row>
      <xdr:rowOff>142741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5DF7B5-8657-724D-0E5C-353393E0C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329045</xdr:colOff>
      <xdr:row>100</xdr:row>
      <xdr:rowOff>207819</xdr:rowOff>
    </xdr:from>
    <xdr:to>
      <xdr:col>27</xdr:col>
      <xdr:colOff>554181</xdr:colOff>
      <xdr:row>117</xdr:row>
      <xdr:rowOff>363682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7C52D3CF-CAB9-2285-7D4F-3645E4DCE9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4272" y="40334046"/>
              <a:ext cx="8693727" cy="59401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21</xdr:col>
      <xdr:colOff>374196</xdr:colOff>
      <xdr:row>9</xdr:row>
      <xdr:rowOff>356507</xdr:rowOff>
    </xdr:from>
    <xdr:to>
      <xdr:col>29</xdr:col>
      <xdr:colOff>47624</xdr:colOff>
      <xdr:row>16</xdr:row>
      <xdr:rowOff>337457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365B2BC-F4F4-2D2D-8C71-04C8F7EA0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6C68-765D-4674-A27C-26A8C8507DD8}">
  <dimension ref="A1:U75"/>
  <sheetViews>
    <sheetView tabSelected="1" topLeftCell="F11" zoomScale="76" zoomScaleNormal="93" workbookViewId="0">
      <selection activeCell="U27" sqref="U27"/>
    </sheetView>
  </sheetViews>
  <sheetFormatPr defaultRowHeight="15" x14ac:dyDescent="0.25"/>
  <cols>
    <col min="1" max="1" width="23.42578125" bestFit="1" customWidth="1"/>
    <col min="3" max="3" width="27.28515625" customWidth="1"/>
    <col min="4" max="4" width="23.42578125" customWidth="1"/>
    <col min="5" max="5" width="19.42578125" customWidth="1"/>
    <col min="6" max="6" width="16.140625" customWidth="1"/>
    <col min="7" max="7" width="18.5703125" bestFit="1" customWidth="1"/>
    <col min="8" max="8" width="18.85546875" customWidth="1"/>
    <col min="9" max="9" width="24.42578125" bestFit="1" customWidth="1"/>
    <col min="10" max="10" width="9.85546875" bestFit="1" customWidth="1"/>
    <col min="11" max="11" width="12.5703125" customWidth="1"/>
    <col min="13" max="13" width="12.42578125" bestFit="1" customWidth="1"/>
    <col min="14" max="14" width="19.5703125" bestFit="1" customWidth="1"/>
    <col min="15" max="16" width="16" bestFit="1" customWidth="1"/>
    <col min="17" max="17" width="24.42578125" bestFit="1" customWidth="1"/>
    <col min="18" max="18" width="7.7109375" customWidth="1"/>
    <col min="19" max="19" width="13.140625" bestFit="1" customWidth="1"/>
    <col min="20" max="20" width="16.28515625" bestFit="1" customWidth="1"/>
    <col min="21" max="21" width="10.28515625" bestFit="1" customWidth="1"/>
  </cols>
  <sheetData>
    <row r="1" spans="1:21" ht="36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29</v>
      </c>
      <c r="H1" s="34" t="s">
        <v>50</v>
      </c>
      <c r="I1" s="34" t="s">
        <v>53</v>
      </c>
      <c r="K1" s="8" t="s">
        <v>43</v>
      </c>
      <c r="L1" s="8" t="s">
        <v>44</v>
      </c>
      <c r="M1" s="9"/>
      <c r="N1" s="43" t="s">
        <v>51</v>
      </c>
      <c r="O1" s="44"/>
      <c r="Q1" s="42" t="s">
        <v>52</v>
      </c>
      <c r="R1" s="42"/>
    </row>
    <row r="2" spans="1:21" ht="18" x14ac:dyDescent="0.25">
      <c r="A2" s="35">
        <v>45810.799189814818</v>
      </c>
      <c r="B2" s="36">
        <v>22</v>
      </c>
      <c r="C2" s="37" t="s">
        <v>6</v>
      </c>
      <c r="D2" s="36">
        <v>20</v>
      </c>
      <c r="E2" s="36">
        <v>0</v>
      </c>
      <c r="F2" s="36">
        <v>0</v>
      </c>
      <c r="G2" s="36">
        <v>10.846</v>
      </c>
      <c r="H2" s="8" t="str">
        <f t="shared" ref="H2:H38" si="0">IF(OR(G2&lt;$O$7, G2&gt;$O$8), "Outlier", "Normal")</f>
        <v>Normal</v>
      </c>
      <c r="I2" s="8" t="str">
        <f t="shared" ref="I2:I38" si="1">IF(OR(D2&lt;$R$7, D2&gt;$R$8), "Outlier", "Normal")</f>
        <v>Normal</v>
      </c>
      <c r="K2" s="8" t="str" cm="1">
        <f t="array" ref="K2:K24">_xlfn.UNIQUE(C2:C38)</f>
        <v>3uw8GaHGm0VDLWFG</v>
      </c>
      <c r="L2" s="8">
        <f>_xlfn.XLOOKUP(K2, $C$2:$C$38, $B$2:$B$38)</f>
        <v>22</v>
      </c>
      <c r="M2" s="10"/>
      <c r="N2" s="12" t="s">
        <v>45</v>
      </c>
      <c r="O2" s="18">
        <f>_xlfn.QUARTILE.INC(G2:G38, 1)</f>
        <v>14.414</v>
      </c>
      <c r="Q2" s="12" t="s">
        <v>45</v>
      </c>
      <c r="R2" s="18">
        <f>_xlfn.QUARTILE.INC(D2:D38, 1)</f>
        <v>18</v>
      </c>
    </row>
    <row r="3" spans="1:21" ht="18" x14ac:dyDescent="0.25">
      <c r="A3" s="35">
        <v>45811.417303240742</v>
      </c>
      <c r="B3" s="36">
        <v>21</v>
      </c>
      <c r="C3" s="37" t="s">
        <v>7</v>
      </c>
      <c r="D3" s="36">
        <v>19</v>
      </c>
      <c r="E3" s="36">
        <v>1</v>
      </c>
      <c r="F3" s="36">
        <v>2</v>
      </c>
      <c r="G3" s="36">
        <v>24.222999999999999</v>
      </c>
      <c r="H3" s="8" t="str">
        <f t="shared" si="0"/>
        <v>Normal</v>
      </c>
      <c r="I3" s="8" t="str">
        <f t="shared" si="1"/>
        <v>Normal</v>
      </c>
      <c r="K3" s="8" t="str">
        <v>CeZTpqdWEzfhLEnc</v>
      </c>
      <c r="L3" s="8">
        <f t="shared" ref="L3:L24" si="2">_xlfn.XLOOKUP(K3, $C$2:$C$38, $B$2:$B$38)</f>
        <v>21</v>
      </c>
      <c r="M3" s="10"/>
      <c r="N3" s="14" t="s">
        <v>46</v>
      </c>
      <c r="O3" s="13">
        <f>_xlfn.QUARTILE.INC(G2:G38, 3)</f>
        <v>19.538</v>
      </c>
      <c r="Q3" s="14" t="s">
        <v>46</v>
      </c>
      <c r="R3" s="13">
        <f>_xlfn.QUARTILE.INC(D2:D38, 3)</f>
        <v>20</v>
      </c>
    </row>
    <row r="4" spans="1:21" ht="18" x14ac:dyDescent="0.25">
      <c r="A4" s="35">
        <v>45811.41783564815</v>
      </c>
      <c r="B4" s="36">
        <v>21</v>
      </c>
      <c r="C4" s="37" t="s">
        <v>7</v>
      </c>
      <c r="D4" s="36">
        <v>20</v>
      </c>
      <c r="E4" s="36">
        <v>0</v>
      </c>
      <c r="F4" s="36">
        <v>1</v>
      </c>
      <c r="G4" s="36">
        <v>20.798999999999999</v>
      </c>
      <c r="H4" s="8" t="str">
        <f t="shared" si="0"/>
        <v>Normal</v>
      </c>
      <c r="I4" s="8" t="str">
        <f t="shared" si="1"/>
        <v>Normal</v>
      </c>
      <c r="K4" s="8" t="str">
        <v>8DhfaiWamOh3Uw9o</v>
      </c>
      <c r="L4" s="8">
        <f t="shared" si="2"/>
        <v>21</v>
      </c>
      <c r="M4" s="10"/>
      <c r="N4" s="14"/>
      <c r="O4" s="15"/>
      <c r="Q4" s="14"/>
      <c r="R4" s="15"/>
    </row>
    <row r="5" spans="1:21" ht="18" x14ac:dyDescent="0.25">
      <c r="A5" s="35">
        <v>45811.433877314812</v>
      </c>
      <c r="B5" s="36">
        <v>21</v>
      </c>
      <c r="C5" s="37" t="s">
        <v>8</v>
      </c>
      <c r="D5" s="36">
        <v>20</v>
      </c>
      <c r="E5" s="36">
        <v>0</v>
      </c>
      <c r="F5" s="36">
        <v>0</v>
      </c>
      <c r="G5" s="36">
        <v>14.744999999999999</v>
      </c>
      <c r="H5" s="8" t="str">
        <f t="shared" si="0"/>
        <v>Normal</v>
      </c>
      <c r="I5" s="8" t="str">
        <f t="shared" si="1"/>
        <v>Normal</v>
      </c>
      <c r="K5" s="8" t="str">
        <v>g2oNWF0SHiFDwvmn</v>
      </c>
      <c r="L5" s="8">
        <f t="shared" si="2"/>
        <v>21</v>
      </c>
      <c r="M5" s="10"/>
      <c r="N5" s="14" t="s">
        <v>47</v>
      </c>
      <c r="O5" s="15">
        <f>O3-O2</f>
        <v>5.1240000000000006</v>
      </c>
      <c r="Q5" s="14" t="s">
        <v>47</v>
      </c>
      <c r="R5" s="15">
        <f>R3-R2</f>
        <v>2</v>
      </c>
    </row>
    <row r="6" spans="1:21" ht="18" x14ac:dyDescent="0.25">
      <c r="A6" s="38">
        <v>45811.434155092589</v>
      </c>
      <c r="B6" s="39">
        <v>21</v>
      </c>
      <c r="C6" s="40" t="s">
        <v>8</v>
      </c>
      <c r="D6" s="39">
        <v>4</v>
      </c>
      <c r="E6" s="39">
        <v>16</v>
      </c>
      <c r="F6" s="39">
        <v>0</v>
      </c>
      <c r="G6" s="39">
        <v>9.8109999999999999</v>
      </c>
      <c r="H6" s="41" t="str">
        <f t="shared" si="0"/>
        <v>Normal</v>
      </c>
      <c r="I6" s="41" t="str">
        <f t="shared" si="1"/>
        <v>Outlier</v>
      </c>
      <c r="K6" s="8" t="str">
        <v>yxue3erAjUMOachW</v>
      </c>
      <c r="L6" s="8">
        <f t="shared" si="2"/>
        <v>21</v>
      </c>
      <c r="M6" s="10"/>
      <c r="N6" s="14"/>
      <c r="O6" s="15"/>
      <c r="Q6" s="14"/>
      <c r="R6" s="15"/>
    </row>
    <row r="7" spans="1:21" ht="18" x14ac:dyDescent="0.25">
      <c r="A7" s="35">
        <v>45811.43445601852</v>
      </c>
      <c r="B7" s="36">
        <v>21</v>
      </c>
      <c r="C7" s="37" t="s">
        <v>8</v>
      </c>
      <c r="D7" s="36">
        <v>20</v>
      </c>
      <c r="E7" s="36">
        <v>0</v>
      </c>
      <c r="F7" s="36">
        <v>0</v>
      </c>
      <c r="G7" s="36">
        <v>13.738</v>
      </c>
      <c r="H7" s="8" t="str">
        <f t="shared" si="0"/>
        <v>Normal</v>
      </c>
      <c r="I7" s="8" t="str">
        <f t="shared" si="1"/>
        <v>Normal</v>
      </c>
      <c r="K7" s="8" t="str">
        <v>CfiFf9V7OsOj047r</v>
      </c>
      <c r="L7" s="8">
        <f t="shared" si="2"/>
        <v>21</v>
      </c>
      <c r="M7" s="10"/>
      <c r="N7" s="14" t="s">
        <v>48</v>
      </c>
      <c r="O7" s="15">
        <f>O2-1.5*O5</f>
        <v>6.7279999999999989</v>
      </c>
      <c r="Q7" s="14" t="s">
        <v>48</v>
      </c>
      <c r="R7" s="15">
        <f>R2-1.5*R5</f>
        <v>15</v>
      </c>
      <c r="T7" t="s">
        <v>65</v>
      </c>
      <c r="U7">
        <f>COUNT(D2:D38)</f>
        <v>37</v>
      </c>
    </row>
    <row r="8" spans="1:21" ht="18" x14ac:dyDescent="0.25">
      <c r="A8" s="35">
        <v>45811.435555555552</v>
      </c>
      <c r="B8" s="36">
        <v>21</v>
      </c>
      <c r="C8" s="37" t="s">
        <v>9</v>
      </c>
      <c r="D8" s="36">
        <v>17</v>
      </c>
      <c r="E8" s="36">
        <v>3</v>
      </c>
      <c r="F8" s="36">
        <v>0</v>
      </c>
      <c r="G8" s="36">
        <v>21.074999999999999</v>
      </c>
      <c r="H8" s="8" t="str">
        <f t="shared" si="0"/>
        <v>Normal</v>
      </c>
      <c r="I8" s="8" t="str">
        <f t="shared" si="1"/>
        <v>Normal</v>
      </c>
      <c r="K8" s="8" t="str">
        <v>0sMP8F84KxuIJvUS</v>
      </c>
      <c r="L8" s="8">
        <f t="shared" si="2"/>
        <v>20</v>
      </c>
      <c r="M8" s="10"/>
      <c r="N8" s="16" t="s">
        <v>49</v>
      </c>
      <c r="O8" s="17">
        <f>O3+1.5*O5</f>
        <v>27.224</v>
      </c>
      <c r="Q8" s="16" t="s">
        <v>49</v>
      </c>
      <c r="R8" s="17">
        <f>R3+1.5*R5</f>
        <v>23</v>
      </c>
      <c r="T8" t="s">
        <v>135</v>
      </c>
      <c r="U8">
        <f>U7-U9</f>
        <v>33</v>
      </c>
    </row>
    <row r="9" spans="1:21" ht="18" x14ac:dyDescent="0.25">
      <c r="A9" s="35">
        <v>45811.435949074075</v>
      </c>
      <c r="B9" s="36">
        <v>21</v>
      </c>
      <c r="C9" s="37" t="s">
        <v>10</v>
      </c>
      <c r="D9" s="36">
        <v>19</v>
      </c>
      <c r="E9" s="36">
        <v>1</v>
      </c>
      <c r="F9" s="36">
        <v>0</v>
      </c>
      <c r="G9" s="36">
        <v>12.824</v>
      </c>
      <c r="H9" s="8" t="str">
        <f t="shared" si="0"/>
        <v>Normal</v>
      </c>
      <c r="I9" s="8" t="str">
        <f t="shared" si="1"/>
        <v>Normal</v>
      </c>
      <c r="K9" s="8" t="str">
        <v>eIh8zeOE0FesGgU0</v>
      </c>
      <c r="L9" s="8">
        <f t="shared" si="2"/>
        <v>25</v>
      </c>
      <c r="N9" s="14" t="s">
        <v>61</v>
      </c>
      <c r="O9">
        <f>COUNTIF(H2:H38, "Outlier")</f>
        <v>1</v>
      </c>
      <c r="Q9" s="14" t="s">
        <v>61</v>
      </c>
      <c r="R9">
        <f>COUNTIF(I2:I38, "Outlier")</f>
        <v>3</v>
      </c>
      <c r="T9" t="s">
        <v>62</v>
      </c>
      <c r="U9">
        <f>O9+R9</f>
        <v>4</v>
      </c>
    </row>
    <row r="10" spans="1:21" ht="18" x14ac:dyDescent="0.25">
      <c r="A10" s="35">
        <v>45811.527662037035</v>
      </c>
      <c r="B10" s="36">
        <v>21</v>
      </c>
      <c r="C10" s="37" t="s">
        <v>11</v>
      </c>
      <c r="D10" s="36">
        <v>20</v>
      </c>
      <c r="E10" s="36">
        <v>0</v>
      </c>
      <c r="F10" s="36">
        <v>2</v>
      </c>
      <c r="G10" s="36">
        <v>14.443</v>
      </c>
      <c r="H10" s="8" t="str">
        <f t="shared" si="0"/>
        <v>Normal</v>
      </c>
      <c r="I10" s="8" t="str">
        <f t="shared" si="1"/>
        <v>Normal</v>
      </c>
      <c r="K10" s="8" t="str">
        <v>oPEWiBGBPMCF819J</v>
      </c>
      <c r="L10" s="8">
        <f t="shared" si="2"/>
        <v>22</v>
      </c>
      <c r="T10" t="s">
        <v>63</v>
      </c>
      <c r="U10" s="21">
        <f>U9/U7</f>
        <v>0.10810810810810811</v>
      </c>
    </row>
    <row r="11" spans="1:21" ht="18" x14ac:dyDescent="0.25">
      <c r="A11" s="38">
        <v>45811.527881944443</v>
      </c>
      <c r="B11" s="39">
        <v>21</v>
      </c>
      <c r="C11" s="40" t="s">
        <v>11</v>
      </c>
      <c r="D11" s="39">
        <v>7</v>
      </c>
      <c r="E11" s="39">
        <v>13</v>
      </c>
      <c r="F11" s="39">
        <v>12</v>
      </c>
      <c r="G11" s="39">
        <v>13.398</v>
      </c>
      <c r="H11" s="41" t="str">
        <f>'Dados Recolhidos'!H2</f>
        <v>Normal</v>
      </c>
      <c r="I11" s="41" t="str">
        <f t="shared" si="1"/>
        <v>Outlier</v>
      </c>
      <c r="K11" s="8" t="str">
        <v>HTgbRB11ojXvDXXq</v>
      </c>
      <c r="L11" s="8">
        <f t="shared" si="2"/>
        <v>19</v>
      </c>
    </row>
    <row r="12" spans="1:21" ht="18" x14ac:dyDescent="0.25">
      <c r="A12" s="35">
        <v>45811.52952546296</v>
      </c>
      <c r="B12" s="36">
        <v>20</v>
      </c>
      <c r="C12" s="37" t="s">
        <v>12</v>
      </c>
      <c r="D12" s="36">
        <v>20</v>
      </c>
      <c r="E12" s="36">
        <v>0</v>
      </c>
      <c r="F12" s="36">
        <v>0</v>
      </c>
      <c r="G12" s="36">
        <v>15.785</v>
      </c>
      <c r="H12" s="8" t="str">
        <f t="shared" si="0"/>
        <v>Normal</v>
      </c>
      <c r="I12" s="8" t="str">
        <f t="shared" si="1"/>
        <v>Normal</v>
      </c>
      <c r="K12" s="8" t="str">
        <v>ULzBbaDyY8yVcQfP</v>
      </c>
      <c r="L12" s="8">
        <f t="shared" si="2"/>
        <v>22</v>
      </c>
      <c r="N12" s="5" t="s">
        <v>30</v>
      </c>
      <c r="O12" s="5" t="s">
        <v>58</v>
      </c>
      <c r="P12" s="19" t="s">
        <v>60</v>
      </c>
    </row>
    <row r="13" spans="1:21" ht="18" x14ac:dyDescent="0.25">
      <c r="A13" s="38">
        <v>45811.530011574076</v>
      </c>
      <c r="B13" s="39">
        <v>20</v>
      </c>
      <c r="C13" s="40" t="s">
        <v>12</v>
      </c>
      <c r="D13" s="39">
        <v>10</v>
      </c>
      <c r="E13" s="39">
        <v>10</v>
      </c>
      <c r="F13" s="39">
        <v>9</v>
      </c>
      <c r="G13" s="39">
        <v>18.373000000000001</v>
      </c>
      <c r="H13" s="41" t="str">
        <f t="shared" si="0"/>
        <v>Normal</v>
      </c>
      <c r="I13" s="41" t="str">
        <f t="shared" si="1"/>
        <v>Outlier</v>
      </c>
      <c r="K13" s="8" t="str">
        <v>KvkxzNiaKnTFgiRx</v>
      </c>
      <c r="L13" s="8">
        <f t="shared" si="2"/>
        <v>22</v>
      </c>
      <c r="N13" s="6" t="s">
        <v>54</v>
      </c>
      <c r="O13" s="20">
        <f>AVERAGE($L$2:$L$24)</f>
        <v>23.130434782608695</v>
      </c>
      <c r="P13" s="20">
        <f>AVERAGE($L$2:$L$24)</f>
        <v>23.130434782608695</v>
      </c>
    </row>
    <row r="14" spans="1:21" ht="18" x14ac:dyDescent="0.25">
      <c r="A14" s="35">
        <v>45812.582488425927</v>
      </c>
      <c r="B14" s="36">
        <v>25</v>
      </c>
      <c r="C14" s="37" t="s">
        <v>13</v>
      </c>
      <c r="D14" s="36">
        <v>20</v>
      </c>
      <c r="E14" s="36">
        <v>0</v>
      </c>
      <c r="F14" s="36">
        <v>3</v>
      </c>
      <c r="G14" s="36">
        <v>14.414</v>
      </c>
      <c r="H14" s="8" t="str">
        <f t="shared" si="0"/>
        <v>Normal</v>
      </c>
      <c r="I14" s="8" t="str">
        <f t="shared" si="1"/>
        <v>Normal</v>
      </c>
      <c r="K14" s="8" t="str">
        <v>JKNZR77snfcT33rl</v>
      </c>
      <c r="L14" s="8">
        <f t="shared" si="2"/>
        <v>20</v>
      </c>
      <c r="N14" s="6" t="s">
        <v>55</v>
      </c>
      <c r="O14" s="20">
        <f>AVERAGEIFS(D2:D38,H2:H38,"Normal", I2:I38, "Normal")</f>
        <v>19.181818181818183</v>
      </c>
      <c r="P14" s="20">
        <f>AVERAGE(D2:D38)</f>
        <v>18.189189189189189</v>
      </c>
    </row>
    <row r="15" spans="1:21" ht="18" x14ac:dyDescent="0.25">
      <c r="A15" s="35">
        <v>45812.582766203705</v>
      </c>
      <c r="B15" s="36">
        <v>25</v>
      </c>
      <c r="C15" s="37" t="s">
        <v>13</v>
      </c>
      <c r="D15" s="36">
        <v>20</v>
      </c>
      <c r="E15" s="36">
        <v>0</v>
      </c>
      <c r="F15" s="36">
        <v>3</v>
      </c>
      <c r="G15" s="36">
        <v>14.247</v>
      </c>
      <c r="H15" s="8" t="str">
        <f t="shared" si="0"/>
        <v>Normal</v>
      </c>
      <c r="I15" s="8" t="str">
        <f t="shared" si="1"/>
        <v>Normal</v>
      </c>
      <c r="K15" s="8" t="str">
        <v>P07DbiyJf9rDSeCo</v>
      </c>
      <c r="L15" s="8">
        <f t="shared" si="2"/>
        <v>22</v>
      </c>
      <c r="N15" s="6" t="s">
        <v>56</v>
      </c>
      <c r="O15" s="20">
        <f>AVERAGEIFS(E2:E38,H2:H38,"Normal", I2:I38, "Normal")</f>
        <v>0.81818181818181823</v>
      </c>
      <c r="P15" s="20">
        <f>AVERAGE(E2:E38)</f>
        <v>1.8108108108108107</v>
      </c>
    </row>
    <row r="16" spans="1:21" ht="18" x14ac:dyDescent="0.25">
      <c r="A16" s="35">
        <v>45816.671539351853</v>
      </c>
      <c r="B16" s="36">
        <v>22</v>
      </c>
      <c r="C16" s="37" t="s">
        <v>14</v>
      </c>
      <c r="D16" s="36">
        <v>17</v>
      </c>
      <c r="E16" s="36">
        <v>3</v>
      </c>
      <c r="F16" s="36">
        <v>3</v>
      </c>
      <c r="G16" s="36">
        <v>17.388999999999999</v>
      </c>
      <c r="H16" s="8" t="str">
        <f t="shared" si="0"/>
        <v>Normal</v>
      </c>
      <c r="I16" s="8" t="str">
        <f t="shared" si="1"/>
        <v>Normal</v>
      </c>
      <c r="K16" s="8" t="str">
        <v>jyyAVznZofG0lqJq</v>
      </c>
      <c r="L16" s="8">
        <f t="shared" si="2"/>
        <v>19</v>
      </c>
      <c r="N16" s="6" t="s">
        <v>59</v>
      </c>
      <c r="O16" s="20">
        <f>AVERAGEIFS(F2:F38,H2:H38,"Normal", I2:I38, "Normal")</f>
        <v>1.5757575757575757</v>
      </c>
      <c r="P16" s="20">
        <f>AVERAGE(F2:F38)</f>
        <v>1.972972972972973</v>
      </c>
    </row>
    <row r="17" spans="1:19" ht="18" x14ac:dyDescent="0.25">
      <c r="A17" s="35">
        <v>45816.677847222221</v>
      </c>
      <c r="B17" s="36">
        <v>19</v>
      </c>
      <c r="C17" s="37" t="s">
        <v>15</v>
      </c>
      <c r="D17" s="36">
        <v>18</v>
      </c>
      <c r="E17" s="36">
        <v>2</v>
      </c>
      <c r="F17" s="36">
        <v>3</v>
      </c>
      <c r="G17" s="36">
        <v>17.363</v>
      </c>
      <c r="H17" s="8" t="str">
        <f t="shared" si="0"/>
        <v>Normal</v>
      </c>
      <c r="I17" s="8" t="str">
        <f t="shared" si="1"/>
        <v>Normal</v>
      </c>
      <c r="K17" s="8" t="str">
        <v>Q8VekvGpSwipGj41</v>
      </c>
      <c r="L17" s="8">
        <f t="shared" si="2"/>
        <v>22</v>
      </c>
      <c r="N17" s="6" t="s">
        <v>57</v>
      </c>
      <c r="O17" s="7">
        <f>AVERAGEIFS(G2:G38,H2:H38,"Normal", I2:I38, "Normal")</f>
        <v>17.148090909090911</v>
      </c>
      <c r="P17" s="20">
        <f>AVERAGE(G2:G38)</f>
        <v>17.343324324324321</v>
      </c>
    </row>
    <row r="18" spans="1:19" ht="18" x14ac:dyDescent="0.25">
      <c r="A18" s="35">
        <v>45816.678310185183</v>
      </c>
      <c r="B18" s="36">
        <v>22</v>
      </c>
      <c r="C18" s="37" t="s">
        <v>16</v>
      </c>
      <c r="D18" s="36">
        <v>18</v>
      </c>
      <c r="E18" s="36">
        <v>2</v>
      </c>
      <c r="F18" s="36">
        <v>0</v>
      </c>
      <c r="G18" s="36">
        <v>13.641999999999999</v>
      </c>
      <c r="H18" s="8" t="str">
        <f t="shared" si="0"/>
        <v>Normal</v>
      </c>
      <c r="I18" s="8" t="str">
        <f t="shared" si="1"/>
        <v>Normal</v>
      </c>
      <c r="K18" s="8" t="str">
        <v>HwoGRBURadrmPauq</v>
      </c>
      <c r="L18" s="8">
        <f t="shared" si="2"/>
        <v>22</v>
      </c>
    </row>
    <row r="19" spans="1:19" ht="18.75" thickBot="1" x14ac:dyDescent="0.3">
      <c r="A19" s="35">
        <v>45816.679131944446</v>
      </c>
      <c r="B19" s="36">
        <v>22</v>
      </c>
      <c r="C19" s="37" t="s">
        <v>17</v>
      </c>
      <c r="D19" s="36">
        <v>18</v>
      </c>
      <c r="E19" s="36">
        <v>2</v>
      </c>
      <c r="F19" s="36">
        <v>3</v>
      </c>
      <c r="G19" s="36">
        <v>17.053999999999998</v>
      </c>
      <c r="H19" s="8" t="str">
        <f t="shared" si="0"/>
        <v>Normal</v>
      </c>
      <c r="I19" s="8" t="str">
        <f t="shared" si="1"/>
        <v>Normal</v>
      </c>
      <c r="K19" s="8" t="str">
        <v>nwg3CCb0tbR0UeJn</v>
      </c>
      <c r="L19" s="8">
        <f t="shared" si="2"/>
        <v>19</v>
      </c>
    </row>
    <row r="20" spans="1:19" ht="30.75" thickBot="1" x14ac:dyDescent="0.3">
      <c r="A20" s="35">
        <v>45816.679629629631</v>
      </c>
      <c r="B20" s="36">
        <v>20</v>
      </c>
      <c r="C20" s="37" t="s">
        <v>18</v>
      </c>
      <c r="D20" s="36">
        <v>20</v>
      </c>
      <c r="E20" s="36">
        <v>0</v>
      </c>
      <c r="F20" s="36">
        <v>2</v>
      </c>
      <c r="G20" s="36">
        <v>20.550999999999998</v>
      </c>
      <c r="H20" s="8" t="str">
        <f t="shared" si="0"/>
        <v>Normal</v>
      </c>
      <c r="I20" s="8" t="str">
        <f t="shared" si="1"/>
        <v>Normal</v>
      </c>
      <c r="K20" s="8" t="str">
        <v>TaJDwUQYlB9aGhHl</v>
      </c>
      <c r="L20" s="8">
        <f t="shared" si="2"/>
        <v>10</v>
      </c>
      <c r="N20" s="22" t="s">
        <v>64</v>
      </c>
      <c r="O20" s="24" t="s">
        <v>31</v>
      </c>
      <c r="P20" s="24" t="s">
        <v>32</v>
      </c>
      <c r="Q20" s="24" t="s">
        <v>33</v>
      </c>
      <c r="R20" s="24" t="s">
        <v>34</v>
      </c>
      <c r="S20" s="24" t="s">
        <v>35</v>
      </c>
    </row>
    <row r="21" spans="1:19" ht="18.75" thickBot="1" x14ac:dyDescent="0.3">
      <c r="A21" s="35">
        <v>45816.680312500001</v>
      </c>
      <c r="B21" s="36">
        <v>22</v>
      </c>
      <c r="C21" s="37" t="s">
        <v>19</v>
      </c>
      <c r="D21" s="36">
        <v>16</v>
      </c>
      <c r="E21" s="36">
        <v>4</v>
      </c>
      <c r="F21" s="36">
        <v>4</v>
      </c>
      <c r="G21" s="36">
        <v>18.628</v>
      </c>
      <c r="H21" s="8" t="str">
        <f t="shared" si="0"/>
        <v>Normal</v>
      </c>
      <c r="I21" s="8" t="str">
        <f t="shared" si="1"/>
        <v>Normal</v>
      </c>
      <c r="K21" s="8" t="str">
        <v>scoSMLBUCE6Et9wX</v>
      </c>
      <c r="L21" s="8">
        <f t="shared" si="2"/>
        <v>57</v>
      </c>
      <c r="N21" s="23" t="s">
        <v>36</v>
      </c>
      <c r="O21" s="25">
        <f>AVERAGE($L$2:$L$24)</f>
        <v>23.130434782608695</v>
      </c>
      <c r="P21" s="25">
        <f>AVERAGEIFS(D2:D38,H2:H38,"Normal", I2:I38, "Normal")</f>
        <v>19.181818181818183</v>
      </c>
      <c r="Q21" s="25">
        <f>AVERAGEIFS(E2:E38,H2:H38,"Normal", I2:I38, "Normal")</f>
        <v>0.81818181818181823</v>
      </c>
      <c r="R21" s="25">
        <f>AVERAGEIFS(F2:F38,H2:H38,"Normal", I2:I38, "Normal")</f>
        <v>1.5757575757575757</v>
      </c>
      <c r="S21" s="25">
        <f>AVERAGEIFS(G2:G38,H2:H38,"Normal", I2:I38, "Normal")</f>
        <v>17.148090909090911</v>
      </c>
    </row>
    <row r="22" spans="1:19" ht="18.75" thickBot="1" x14ac:dyDescent="0.3">
      <c r="A22" s="35">
        <v>45816.682569444441</v>
      </c>
      <c r="B22" s="36">
        <v>19</v>
      </c>
      <c r="C22" s="37" t="s">
        <v>20</v>
      </c>
      <c r="D22" s="36">
        <v>20</v>
      </c>
      <c r="E22" s="36">
        <v>0</v>
      </c>
      <c r="F22" s="36">
        <v>1</v>
      </c>
      <c r="G22" s="36">
        <v>22.108000000000001</v>
      </c>
      <c r="H22" s="8" t="str">
        <f t="shared" si="0"/>
        <v>Normal</v>
      </c>
      <c r="I22" s="8" t="str">
        <f t="shared" si="1"/>
        <v>Normal</v>
      </c>
      <c r="K22" s="8" t="str">
        <v>zdDAhd5ZOwiWbYW3</v>
      </c>
      <c r="L22" s="8">
        <f t="shared" si="2"/>
        <v>53</v>
      </c>
      <c r="N22" s="23" t="s">
        <v>37</v>
      </c>
      <c r="O22" s="25" cm="1">
        <f t="array" ref="O22">_xlfn.STDEV.S(IF((H2:H38="Normal")*(I2:I38="Normal"), G2:G38))</f>
        <v>3.4178810812003433</v>
      </c>
      <c r="P22" s="25" cm="1">
        <f t="array" ref="P22">_xlfn.STDEV.S(IF((H2:H38="Normal")*(I2:I38="Normal"), D2:D38))</f>
        <v>1.1306675421666132</v>
      </c>
      <c r="Q22" s="25" cm="1">
        <f t="array" ref="Q22">_xlfn.STDEV.S(IF((H2:H38="Normal")*(I2:I38="Normal"), E2:E38))</f>
        <v>1.1306675421666135</v>
      </c>
      <c r="R22" s="25" cm="1">
        <f t="array" ref="R22">_xlfn.STDEV.S(IF((H2:H38="Normal")*(I2:I38="Normal"), F2:F38))</f>
        <v>1.4367998953904262</v>
      </c>
      <c r="S22" s="25" cm="1">
        <f t="array" ref="S22">_xlfn.STDEV.S(IF((H2:H38="Normal")*(I2:I38="Normal"), G2:G38))</f>
        <v>3.4178810812003433</v>
      </c>
    </row>
    <row r="23" spans="1:19" ht="18.75" thickBot="1" x14ac:dyDescent="0.3">
      <c r="A23" s="35">
        <v>45816.764814814815</v>
      </c>
      <c r="B23" s="36">
        <v>22</v>
      </c>
      <c r="C23" s="37" t="s">
        <v>21</v>
      </c>
      <c r="D23" s="36">
        <v>19</v>
      </c>
      <c r="E23" s="36">
        <v>1</v>
      </c>
      <c r="F23" s="36">
        <v>0</v>
      </c>
      <c r="G23" s="36">
        <v>19.538</v>
      </c>
      <c r="H23" s="8" t="str">
        <f t="shared" si="0"/>
        <v>Normal</v>
      </c>
      <c r="I23" s="8" t="str">
        <f t="shared" si="1"/>
        <v>Normal</v>
      </c>
      <c r="K23" s="8" t="str">
        <v>QyT8rOgxnguJZYTi</v>
      </c>
      <c r="L23" s="8">
        <f t="shared" si="2"/>
        <v>20</v>
      </c>
      <c r="N23" s="23" t="s">
        <v>38</v>
      </c>
      <c r="O23" s="25">
        <f>MIN(L2:L24)</f>
        <v>10</v>
      </c>
      <c r="P23" s="25" cm="1">
        <f t="array" ref="P23">MIN(IF((H2:H38="Normal")*(I2:I38="Normal"), D2:D38))</f>
        <v>16</v>
      </c>
      <c r="Q23" s="25" cm="1">
        <f t="array" ref="Q23">MIN(IF((H2:H38="Normal")*(I2:I38="Normal"), E2:E38))</f>
        <v>0</v>
      </c>
      <c r="R23" s="25" cm="1">
        <f t="array" ref="R23">MIN(IF((H2:H38="Normal")*(I2:I38="Normal"), F2:F38))</f>
        <v>0</v>
      </c>
      <c r="S23" s="25" cm="1">
        <f t="array" ref="S23">MIN(IF((H2:H38="Normal")*(I2:I38="Normal"), G2:G38))</f>
        <v>10.846</v>
      </c>
    </row>
    <row r="24" spans="1:19" ht="18.75" thickBot="1" x14ac:dyDescent="0.3">
      <c r="A24" s="35">
        <v>45816.765335648146</v>
      </c>
      <c r="B24" s="36">
        <v>22</v>
      </c>
      <c r="C24" s="37" t="s">
        <v>22</v>
      </c>
      <c r="D24" s="36">
        <v>18</v>
      </c>
      <c r="E24" s="36">
        <v>2</v>
      </c>
      <c r="F24" s="36">
        <v>0</v>
      </c>
      <c r="G24" s="36">
        <v>15.371</v>
      </c>
      <c r="H24" s="8" t="str">
        <f t="shared" si="0"/>
        <v>Normal</v>
      </c>
      <c r="I24" s="8" t="str">
        <f t="shared" si="1"/>
        <v>Normal</v>
      </c>
      <c r="K24" s="8" t="str">
        <v>xc9TOMeeyr5cbAft</v>
      </c>
      <c r="L24" s="8">
        <f t="shared" si="2"/>
        <v>11</v>
      </c>
      <c r="N24" s="23" t="s">
        <v>39</v>
      </c>
      <c r="O24" s="25">
        <f>_xlfn.QUARTILE.INC(L2:L24,1)</f>
        <v>20</v>
      </c>
      <c r="P24" s="25" cm="1">
        <f t="array" ref="P24">_xlfn.QUARTILE.INC(IF((H2:H38="Normal")*(I2:I38="Normal"), D2:D38),1)</f>
        <v>18</v>
      </c>
      <c r="Q24" s="25" cm="1">
        <f t="array" ref="Q24">_xlfn.QUARTILE.INC(IF((H2:H38="Normal")*(I2:I38="Normal"), E2:E38),1)</f>
        <v>0</v>
      </c>
      <c r="R24" s="25" cm="1">
        <f t="array" ref="R24">_xlfn.QUARTILE.INC(IF((H2:H38="Normal")*(I2:I38="Normal"), F2:F38),1)</f>
        <v>0</v>
      </c>
      <c r="S24" s="25" cm="1">
        <f t="array" ref="S24">_xlfn.QUARTILE.INC(IF((H2:H38="Normal")*(I2:I38="Normal"), G2:G38),1)</f>
        <v>14.443</v>
      </c>
    </row>
    <row r="25" spans="1:19" ht="18.75" thickBot="1" x14ac:dyDescent="0.3">
      <c r="A25" s="35">
        <v>45816.798159722224</v>
      </c>
      <c r="B25" s="36">
        <v>19</v>
      </c>
      <c r="C25" s="37" t="s">
        <v>23</v>
      </c>
      <c r="D25" s="36">
        <v>20</v>
      </c>
      <c r="E25" s="36">
        <v>0</v>
      </c>
      <c r="F25" s="36">
        <v>3</v>
      </c>
      <c r="G25" s="36">
        <v>17.451000000000001</v>
      </c>
      <c r="H25" s="8" t="str">
        <f t="shared" si="0"/>
        <v>Normal</v>
      </c>
      <c r="I25" s="8" t="str">
        <f t="shared" si="1"/>
        <v>Normal</v>
      </c>
      <c r="N25" s="23" t="s">
        <v>40</v>
      </c>
      <c r="O25" s="25">
        <f>_xlfn.QUARTILE.INC(L2:L24,2)</f>
        <v>21</v>
      </c>
      <c r="P25" s="25" cm="1">
        <f t="array" ref="P25">_xlfn.QUARTILE.INC(IF((H2:H38="Normal")*(I2:I38="Normal"), D2:D38),2)</f>
        <v>20</v>
      </c>
      <c r="Q25" s="25" cm="1">
        <f t="array" ref="Q25">_xlfn.QUARTILE.INC(IF((H2:H38="Normal")*(I2:I38="Normal"), E2:E38),2)</f>
        <v>0</v>
      </c>
      <c r="R25" s="25" cm="1">
        <f t="array" ref="R25">_xlfn.QUARTILE.INC(IF((H2:H38="Normal")*(I2:I38="Normal"), F2:F38),2)</f>
        <v>2</v>
      </c>
      <c r="S25" s="25" cm="1">
        <f t="array" ref="S25">_xlfn.QUARTILE.INC(IF((H2:H38="Normal")*(I2:I38="Normal"), G2:G38),2)</f>
        <v>16.786999999999999</v>
      </c>
    </row>
    <row r="26" spans="1:19" ht="18.75" thickBot="1" x14ac:dyDescent="0.3">
      <c r="A26" s="35">
        <v>45816.798402777778</v>
      </c>
      <c r="B26" s="36">
        <v>19</v>
      </c>
      <c r="C26" s="37" t="s">
        <v>23</v>
      </c>
      <c r="D26" s="36">
        <v>18</v>
      </c>
      <c r="E26" s="36">
        <v>2</v>
      </c>
      <c r="F26" s="36">
        <v>2</v>
      </c>
      <c r="G26" s="36">
        <v>17.599</v>
      </c>
      <c r="H26" s="8" t="str">
        <f t="shared" si="0"/>
        <v>Normal</v>
      </c>
      <c r="I26" s="8" t="str">
        <f>IF(OR(D26&lt;$R$7, D26&gt;$R$8), "Outlier", "Normal")</f>
        <v>Normal</v>
      </c>
      <c r="N26" s="23" t="s">
        <v>41</v>
      </c>
      <c r="O26" s="25">
        <f>_xlfn.QUARTILE.INC(L2:L24,3)</f>
        <v>22</v>
      </c>
      <c r="P26" s="25" cm="1">
        <f t="array" ref="P26">_xlfn.QUARTILE.INC(IF((H2:H38="Normal")*(I2:I38="Normal"), D2:D38),3)</f>
        <v>20</v>
      </c>
      <c r="Q26" s="25" cm="1">
        <f t="array" ref="Q26">_xlfn.QUARTILE.INC(IF((H2:H38="Normal")*(I2:I38="Normal"), E2:E38),3)</f>
        <v>2</v>
      </c>
      <c r="R26" s="25" cm="1">
        <f t="array" ref="R26">_xlfn.QUARTILE.INC(IF((H2:H38="Normal")*(I2:I38="Normal"), F2:F38),3)</f>
        <v>3</v>
      </c>
      <c r="S26" s="25" cm="1">
        <f t="array" ref="S26">_xlfn.QUARTILE.INC(IF((H2:H38="Normal")*(I2:I38="Normal"), G2:G38),3)</f>
        <v>19.538</v>
      </c>
    </row>
    <row r="27" spans="1:19" ht="45.75" customHeight="1" thickBot="1" x14ac:dyDescent="0.3">
      <c r="A27" s="35">
        <v>45816.798680555556</v>
      </c>
      <c r="B27" s="36">
        <v>19</v>
      </c>
      <c r="C27" s="37" t="s">
        <v>23</v>
      </c>
      <c r="D27" s="36">
        <v>20</v>
      </c>
      <c r="E27" s="36">
        <v>0</v>
      </c>
      <c r="F27" s="36">
        <v>1</v>
      </c>
      <c r="G27" s="36">
        <v>15.521000000000001</v>
      </c>
      <c r="H27" s="8" t="str">
        <f t="shared" si="0"/>
        <v>Normal</v>
      </c>
      <c r="I27" s="8" t="str">
        <f t="shared" si="1"/>
        <v>Normal</v>
      </c>
      <c r="N27" s="23" t="s">
        <v>42</v>
      </c>
      <c r="O27" s="25">
        <f>_xlfn.QUARTILE.INC(L2:L24,4)</f>
        <v>57</v>
      </c>
      <c r="P27" s="25" cm="1">
        <f t="array" ref="P27">_xlfn.QUARTILE.INC(IF((H2:H38="Normal")*(I2:I38="Normal"), D2:D38),4)</f>
        <v>20</v>
      </c>
      <c r="Q27" s="25" cm="1">
        <f t="array" ref="Q27">_xlfn.QUARTILE.INC(IF((H2:H38="Normal")*(I2:I38="Normal"), E2:E38),4)</f>
        <v>4</v>
      </c>
      <c r="R27" s="25" cm="1">
        <f t="array" ref="R27">_xlfn.QUARTILE.INC(IF((H2:H38="Normal")*(I2:I38="Normal"), F2:F38),4)</f>
        <v>4</v>
      </c>
      <c r="S27" s="25" cm="1">
        <f t="array" ref="S27">_xlfn.QUARTILE.INC(IF((H2:H38="Normal")*(I2:I38="Normal"), G2:G38),4)</f>
        <v>25.497</v>
      </c>
    </row>
    <row r="28" spans="1:19" ht="18" x14ac:dyDescent="0.25">
      <c r="A28" s="35">
        <v>45816.798900462964</v>
      </c>
      <c r="B28" s="36">
        <v>19</v>
      </c>
      <c r="C28" s="37" t="s">
        <v>23</v>
      </c>
      <c r="D28" s="36">
        <v>20</v>
      </c>
      <c r="E28" s="36">
        <v>0</v>
      </c>
      <c r="F28" s="36">
        <v>3</v>
      </c>
      <c r="G28" s="36">
        <v>16.786999999999999</v>
      </c>
      <c r="H28" s="8" t="str">
        <f t="shared" si="0"/>
        <v>Normal</v>
      </c>
      <c r="I28" s="8" t="str">
        <f t="shared" si="1"/>
        <v>Normal</v>
      </c>
    </row>
    <row r="29" spans="1:19" ht="18" x14ac:dyDescent="0.25">
      <c r="A29" s="35">
        <v>45816.799120370371</v>
      </c>
      <c r="B29" s="36">
        <v>19</v>
      </c>
      <c r="C29" s="37" t="s">
        <v>23</v>
      </c>
      <c r="D29" s="36">
        <v>19</v>
      </c>
      <c r="E29" s="36">
        <v>1</v>
      </c>
      <c r="F29" s="36">
        <v>3</v>
      </c>
      <c r="G29" s="36">
        <v>16.027999999999999</v>
      </c>
      <c r="H29" s="8" t="str">
        <f t="shared" si="0"/>
        <v>Normal</v>
      </c>
      <c r="I29" s="8" t="str">
        <f t="shared" si="1"/>
        <v>Normal</v>
      </c>
    </row>
    <row r="30" spans="1:19" ht="18" x14ac:dyDescent="0.25">
      <c r="A30" s="35">
        <v>45816.799363425926</v>
      </c>
      <c r="B30" s="36">
        <v>19</v>
      </c>
      <c r="C30" s="37" t="s">
        <v>23</v>
      </c>
      <c r="D30" s="36">
        <v>20</v>
      </c>
      <c r="E30" s="36">
        <v>0</v>
      </c>
      <c r="F30" s="36">
        <v>0</v>
      </c>
      <c r="G30" s="36">
        <v>13.263999999999999</v>
      </c>
      <c r="H30" s="8" t="str">
        <f t="shared" si="0"/>
        <v>Normal</v>
      </c>
      <c r="I30" s="8" t="str">
        <f t="shared" si="1"/>
        <v>Normal</v>
      </c>
    </row>
    <row r="31" spans="1:19" ht="18" x14ac:dyDescent="0.25">
      <c r="A31" s="35">
        <v>45816.801493055558</v>
      </c>
      <c r="B31" s="36">
        <v>10</v>
      </c>
      <c r="C31" s="37" t="s">
        <v>24</v>
      </c>
      <c r="D31" s="36">
        <v>18</v>
      </c>
      <c r="E31" s="36">
        <v>2</v>
      </c>
      <c r="F31" s="36">
        <v>2</v>
      </c>
      <c r="G31" s="36">
        <v>17.004999999999999</v>
      </c>
      <c r="H31" s="8" t="str">
        <f t="shared" si="0"/>
        <v>Normal</v>
      </c>
      <c r="I31" s="8" t="str">
        <f t="shared" si="1"/>
        <v>Normal</v>
      </c>
    </row>
    <row r="32" spans="1:19" ht="18" x14ac:dyDescent="0.25">
      <c r="A32" s="35">
        <v>45816.801898148151</v>
      </c>
      <c r="B32" s="36">
        <v>10</v>
      </c>
      <c r="C32" s="37" t="s">
        <v>24</v>
      </c>
      <c r="D32" s="36">
        <v>20</v>
      </c>
      <c r="E32" s="36">
        <v>0</v>
      </c>
      <c r="F32" s="36">
        <v>1</v>
      </c>
      <c r="G32" s="36">
        <v>15.803000000000001</v>
      </c>
      <c r="H32" s="8" t="str">
        <f t="shared" si="0"/>
        <v>Normal</v>
      </c>
      <c r="I32" s="8" t="str">
        <f t="shared" si="1"/>
        <v>Normal</v>
      </c>
    </row>
    <row r="33" spans="1:11" ht="18" x14ac:dyDescent="0.25">
      <c r="A33" s="35">
        <v>45816.802118055559</v>
      </c>
      <c r="B33" s="36">
        <v>10</v>
      </c>
      <c r="C33" s="37" t="s">
        <v>24</v>
      </c>
      <c r="D33" s="36">
        <v>19</v>
      </c>
      <c r="E33" s="36">
        <v>1</v>
      </c>
      <c r="F33" s="36">
        <v>2</v>
      </c>
      <c r="G33" s="36">
        <v>13.79</v>
      </c>
      <c r="H33" s="8" t="str">
        <f t="shared" si="0"/>
        <v>Normal</v>
      </c>
      <c r="I33" s="8" t="str">
        <f t="shared" si="1"/>
        <v>Normal</v>
      </c>
    </row>
    <row r="34" spans="1:11" ht="18" x14ac:dyDescent="0.25">
      <c r="A34" s="35">
        <v>45816.802442129629</v>
      </c>
      <c r="B34" s="36">
        <v>10</v>
      </c>
      <c r="C34" s="37" t="s">
        <v>24</v>
      </c>
      <c r="D34" s="36">
        <v>20</v>
      </c>
      <c r="E34" s="36">
        <v>0</v>
      </c>
      <c r="F34" s="36">
        <v>4</v>
      </c>
      <c r="G34" s="36">
        <v>16.16</v>
      </c>
      <c r="H34" s="8" t="str">
        <f t="shared" si="0"/>
        <v>Normal</v>
      </c>
      <c r="I34" s="8" t="str">
        <f t="shared" si="1"/>
        <v>Normal</v>
      </c>
    </row>
    <row r="35" spans="1:11" ht="18" x14ac:dyDescent="0.25">
      <c r="A35" s="38">
        <v>45816.987129629626</v>
      </c>
      <c r="B35" s="39">
        <v>57</v>
      </c>
      <c r="C35" s="40" t="s">
        <v>25</v>
      </c>
      <c r="D35" s="39">
        <v>19</v>
      </c>
      <c r="E35" s="39">
        <v>1</v>
      </c>
      <c r="F35" s="39">
        <v>0</v>
      </c>
      <c r="G35" s="39">
        <v>34.234000000000002</v>
      </c>
      <c r="H35" s="41" t="str">
        <f t="shared" si="0"/>
        <v>Outlier</v>
      </c>
      <c r="I35" s="41" t="str">
        <f t="shared" si="1"/>
        <v>Normal</v>
      </c>
    </row>
    <row r="36" spans="1:11" ht="45.75" customHeight="1" x14ac:dyDescent="0.25">
      <c r="A36" s="35">
        <v>45816.987719907411</v>
      </c>
      <c r="B36" s="36">
        <v>53</v>
      </c>
      <c r="C36" s="37" t="s">
        <v>26</v>
      </c>
      <c r="D36" s="36">
        <v>20</v>
      </c>
      <c r="E36" s="36">
        <v>0</v>
      </c>
      <c r="F36" s="36">
        <v>0</v>
      </c>
      <c r="G36" s="36">
        <v>20.928999999999998</v>
      </c>
      <c r="H36" s="8" t="str">
        <f t="shared" si="0"/>
        <v>Normal</v>
      </c>
      <c r="I36" s="8" t="str">
        <f t="shared" si="1"/>
        <v>Normal</v>
      </c>
    </row>
    <row r="37" spans="1:11" ht="18" x14ac:dyDescent="0.25">
      <c r="A37" s="35">
        <v>45816.994791666664</v>
      </c>
      <c r="B37" s="36">
        <v>20</v>
      </c>
      <c r="C37" s="37" t="s">
        <v>27</v>
      </c>
      <c r="D37" s="36">
        <v>20</v>
      </c>
      <c r="E37" s="36">
        <v>0</v>
      </c>
      <c r="F37" s="36">
        <v>4</v>
      </c>
      <c r="G37" s="36">
        <v>25.497</v>
      </c>
      <c r="H37" s="8" t="str">
        <f t="shared" si="0"/>
        <v>Normal</v>
      </c>
      <c r="I37" s="8" t="str">
        <f t="shared" si="1"/>
        <v>Normal</v>
      </c>
    </row>
    <row r="38" spans="1:11" ht="18" x14ac:dyDescent="0.25">
      <c r="A38" s="35">
        <v>45817.653483796297</v>
      </c>
      <c r="B38" s="36">
        <v>11</v>
      </c>
      <c r="C38" s="37" t="s">
        <v>28</v>
      </c>
      <c r="D38" s="36">
        <v>20</v>
      </c>
      <c r="E38" s="36">
        <v>0</v>
      </c>
      <c r="F38" s="36">
        <v>0</v>
      </c>
      <c r="G38" s="36">
        <v>21.27</v>
      </c>
      <c r="H38" s="8" t="str">
        <f t="shared" si="0"/>
        <v>Normal</v>
      </c>
      <c r="I38" s="8" t="str">
        <f t="shared" si="1"/>
        <v>Normal</v>
      </c>
    </row>
    <row r="41" spans="1:11" ht="15.75" thickBot="1" x14ac:dyDescent="0.3">
      <c r="A41" s="45" t="s">
        <v>66</v>
      </c>
      <c r="B41" s="45"/>
      <c r="C41" s="45"/>
      <c r="D41" s="45"/>
      <c r="E41" s="45"/>
      <c r="F41" s="45"/>
      <c r="G41" s="45"/>
      <c r="H41" s="45"/>
      <c r="I41" s="45"/>
    </row>
    <row r="42" spans="1:11" ht="54.75" thickBot="1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29</v>
      </c>
      <c r="H42" s="11"/>
      <c r="I42" s="1" t="s">
        <v>67</v>
      </c>
      <c r="J42" s="1" t="s">
        <v>29</v>
      </c>
      <c r="K42" s="1" t="s">
        <v>3</v>
      </c>
    </row>
    <row r="43" spans="1:11" ht="18.75" thickBot="1" x14ac:dyDescent="0.3">
      <c r="A43" s="2">
        <v>45810.799189814818</v>
      </c>
      <c r="B43" s="3">
        <v>22</v>
      </c>
      <c r="C43" s="4" t="s">
        <v>6</v>
      </c>
      <c r="D43" s="3">
        <v>20</v>
      </c>
      <c r="E43" s="3">
        <v>0</v>
      </c>
      <c r="F43" s="3">
        <v>0</v>
      </c>
      <c r="G43" s="3">
        <v>10.846</v>
      </c>
      <c r="I43" s="3">
        <v>1</v>
      </c>
      <c r="J43" s="3">
        <v>10.846</v>
      </c>
      <c r="K43" s="3">
        <v>20</v>
      </c>
    </row>
    <row r="44" spans="1:11" ht="18.75" thickBot="1" x14ac:dyDescent="0.3">
      <c r="A44" s="2">
        <v>45811.417303240742</v>
      </c>
      <c r="B44" s="3">
        <v>21</v>
      </c>
      <c r="C44" s="4" t="s">
        <v>7</v>
      </c>
      <c r="D44" s="3">
        <v>19</v>
      </c>
      <c r="E44" s="3">
        <v>1</v>
      </c>
      <c r="F44" s="3">
        <v>2</v>
      </c>
      <c r="G44" s="3">
        <v>24.222999999999999</v>
      </c>
      <c r="I44" s="3">
        <f>I43+1</f>
        <v>2</v>
      </c>
      <c r="J44" s="3">
        <v>24.222999999999999</v>
      </c>
      <c r="K44" s="3">
        <v>19</v>
      </c>
    </row>
    <row r="45" spans="1:11" ht="18.75" thickBot="1" x14ac:dyDescent="0.3">
      <c r="A45" s="2">
        <v>45811.41783564815</v>
      </c>
      <c r="B45" s="3">
        <v>21</v>
      </c>
      <c r="C45" s="4" t="s">
        <v>7</v>
      </c>
      <c r="D45" s="3">
        <v>20</v>
      </c>
      <c r="E45" s="3">
        <v>0</v>
      </c>
      <c r="F45" s="3">
        <v>1</v>
      </c>
      <c r="G45" s="3">
        <v>20.798999999999999</v>
      </c>
      <c r="I45" s="3">
        <f t="shared" ref="I45:I75" si="3">I44+1</f>
        <v>3</v>
      </c>
      <c r="J45" s="3">
        <v>20.798999999999999</v>
      </c>
      <c r="K45" s="3">
        <v>20</v>
      </c>
    </row>
    <row r="46" spans="1:11" ht="18.75" thickBot="1" x14ac:dyDescent="0.3">
      <c r="A46" s="2">
        <v>45811.433877314812</v>
      </c>
      <c r="B46" s="3">
        <v>21</v>
      </c>
      <c r="C46" s="4" t="s">
        <v>8</v>
      </c>
      <c r="D46" s="3">
        <v>20</v>
      </c>
      <c r="E46" s="3">
        <v>0</v>
      </c>
      <c r="F46" s="3">
        <v>0</v>
      </c>
      <c r="G46" s="3">
        <v>14.744999999999999</v>
      </c>
      <c r="I46" s="3">
        <f t="shared" si="3"/>
        <v>4</v>
      </c>
      <c r="J46" s="3">
        <v>14.744999999999999</v>
      </c>
      <c r="K46" s="3">
        <v>20</v>
      </c>
    </row>
    <row r="47" spans="1:11" ht="18.75" thickBot="1" x14ac:dyDescent="0.3">
      <c r="A47" s="2">
        <v>45811.43445601852</v>
      </c>
      <c r="B47" s="3">
        <v>21</v>
      </c>
      <c r="C47" s="4" t="s">
        <v>8</v>
      </c>
      <c r="D47" s="3">
        <v>20</v>
      </c>
      <c r="E47" s="3">
        <v>0</v>
      </c>
      <c r="F47" s="3">
        <v>0</v>
      </c>
      <c r="G47" s="3">
        <v>13.738</v>
      </c>
      <c r="I47" s="3">
        <f t="shared" si="3"/>
        <v>5</v>
      </c>
      <c r="J47" s="3">
        <v>13.738</v>
      </c>
      <c r="K47" s="3">
        <v>20</v>
      </c>
    </row>
    <row r="48" spans="1:11" ht="18.75" thickBot="1" x14ac:dyDescent="0.3">
      <c r="A48" s="2">
        <v>45811.435555555552</v>
      </c>
      <c r="B48" s="3">
        <v>21</v>
      </c>
      <c r="C48" s="4" t="s">
        <v>9</v>
      </c>
      <c r="D48" s="3">
        <v>17</v>
      </c>
      <c r="E48" s="3">
        <v>3</v>
      </c>
      <c r="F48" s="3">
        <v>0</v>
      </c>
      <c r="G48" s="3">
        <v>21.074999999999999</v>
      </c>
      <c r="I48" s="3">
        <f t="shared" si="3"/>
        <v>6</v>
      </c>
      <c r="J48" s="3">
        <v>21.074999999999999</v>
      </c>
      <c r="K48" s="3">
        <v>17</v>
      </c>
    </row>
    <row r="49" spans="1:11" ht="18.75" thickBot="1" x14ac:dyDescent="0.3">
      <c r="A49" s="2">
        <v>45811.435949074075</v>
      </c>
      <c r="B49" s="3">
        <v>21</v>
      </c>
      <c r="C49" s="4" t="s">
        <v>10</v>
      </c>
      <c r="D49" s="3">
        <v>19</v>
      </c>
      <c r="E49" s="3">
        <v>1</v>
      </c>
      <c r="F49" s="3">
        <v>0</v>
      </c>
      <c r="G49" s="3">
        <v>12.824</v>
      </c>
      <c r="I49" s="3">
        <f t="shared" si="3"/>
        <v>7</v>
      </c>
      <c r="J49" s="3">
        <v>12.824</v>
      </c>
      <c r="K49" s="3">
        <v>19</v>
      </c>
    </row>
    <row r="50" spans="1:11" ht="18.75" thickBot="1" x14ac:dyDescent="0.3">
      <c r="A50" s="2">
        <v>45811.527662037035</v>
      </c>
      <c r="B50" s="3">
        <v>21</v>
      </c>
      <c r="C50" s="4" t="s">
        <v>11</v>
      </c>
      <c r="D50" s="3">
        <v>20</v>
      </c>
      <c r="E50" s="3">
        <v>0</v>
      </c>
      <c r="F50" s="3">
        <v>2</v>
      </c>
      <c r="G50" s="3">
        <v>14.443</v>
      </c>
      <c r="I50" s="3">
        <f t="shared" si="3"/>
        <v>8</v>
      </c>
      <c r="J50" s="3">
        <v>14.443</v>
      </c>
      <c r="K50" s="3">
        <v>20</v>
      </c>
    </row>
    <row r="51" spans="1:11" ht="18.75" thickBot="1" x14ac:dyDescent="0.3">
      <c r="A51" s="2">
        <v>45811.52952546296</v>
      </c>
      <c r="B51" s="3">
        <v>20</v>
      </c>
      <c r="C51" s="4" t="s">
        <v>12</v>
      </c>
      <c r="D51" s="3">
        <v>20</v>
      </c>
      <c r="E51" s="3">
        <v>0</v>
      </c>
      <c r="F51" s="3">
        <v>0</v>
      </c>
      <c r="G51" s="3">
        <v>15.785</v>
      </c>
      <c r="I51" s="3">
        <f t="shared" si="3"/>
        <v>9</v>
      </c>
      <c r="J51" s="3">
        <v>15.785</v>
      </c>
      <c r="K51" s="3">
        <v>20</v>
      </c>
    </row>
    <row r="52" spans="1:11" ht="18.75" thickBot="1" x14ac:dyDescent="0.3">
      <c r="A52" s="2">
        <v>45812.582488425927</v>
      </c>
      <c r="B52" s="3">
        <v>25</v>
      </c>
      <c r="C52" s="4" t="s">
        <v>13</v>
      </c>
      <c r="D52" s="3">
        <v>20</v>
      </c>
      <c r="E52" s="3">
        <v>0</v>
      </c>
      <c r="F52" s="3">
        <v>3</v>
      </c>
      <c r="G52" s="3">
        <v>14.414</v>
      </c>
      <c r="I52" s="3">
        <f t="shared" si="3"/>
        <v>10</v>
      </c>
      <c r="J52" s="3">
        <v>14.414</v>
      </c>
      <c r="K52" s="3">
        <v>20</v>
      </c>
    </row>
    <row r="53" spans="1:11" ht="18.75" thickBot="1" x14ac:dyDescent="0.3">
      <c r="A53" s="2">
        <v>45812.582766203705</v>
      </c>
      <c r="B53" s="3">
        <v>25</v>
      </c>
      <c r="C53" s="4" t="s">
        <v>13</v>
      </c>
      <c r="D53" s="3">
        <v>20</v>
      </c>
      <c r="E53" s="3">
        <v>0</v>
      </c>
      <c r="F53" s="3">
        <v>3</v>
      </c>
      <c r="G53" s="3">
        <v>14.247</v>
      </c>
      <c r="I53" s="3">
        <f t="shared" si="3"/>
        <v>11</v>
      </c>
      <c r="J53" s="3">
        <v>14.247</v>
      </c>
      <c r="K53" s="3">
        <v>20</v>
      </c>
    </row>
    <row r="54" spans="1:11" ht="18.75" thickBot="1" x14ac:dyDescent="0.3">
      <c r="A54" s="2">
        <v>45816.671539351853</v>
      </c>
      <c r="B54" s="3">
        <v>22</v>
      </c>
      <c r="C54" s="4" t="s">
        <v>14</v>
      </c>
      <c r="D54" s="3">
        <v>17</v>
      </c>
      <c r="E54" s="3">
        <v>3</v>
      </c>
      <c r="F54" s="3">
        <v>3</v>
      </c>
      <c r="G54" s="3">
        <v>17.388999999999999</v>
      </c>
      <c r="I54" s="3">
        <f t="shared" si="3"/>
        <v>12</v>
      </c>
      <c r="J54" s="3">
        <v>17.388999999999999</v>
      </c>
      <c r="K54" s="3">
        <v>17</v>
      </c>
    </row>
    <row r="55" spans="1:11" ht="18.75" thickBot="1" x14ac:dyDescent="0.3">
      <c r="A55" s="2">
        <v>45816.677847222221</v>
      </c>
      <c r="B55" s="3">
        <v>19</v>
      </c>
      <c r="C55" s="4" t="s">
        <v>15</v>
      </c>
      <c r="D55" s="3">
        <v>18</v>
      </c>
      <c r="E55" s="3">
        <v>2</v>
      </c>
      <c r="F55" s="3">
        <v>3</v>
      </c>
      <c r="G55" s="3">
        <v>17.363</v>
      </c>
      <c r="I55" s="3">
        <f t="shared" si="3"/>
        <v>13</v>
      </c>
      <c r="J55" s="3">
        <v>17.363</v>
      </c>
      <c r="K55" s="3">
        <v>18</v>
      </c>
    </row>
    <row r="56" spans="1:11" ht="18.75" thickBot="1" x14ac:dyDescent="0.3">
      <c r="A56" s="2">
        <v>45816.678310185183</v>
      </c>
      <c r="B56" s="3">
        <v>22</v>
      </c>
      <c r="C56" s="4" t="s">
        <v>16</v>
      </c>
      <c r="D56" s="3">
        <v>18</v>
      </c>
      <c r="E56" s="3">
        <v>2</v>
      </c>
      <c r="F56" s="3">
        <v>0</v>
      </c>
      <c r="G56" s="3">
        <v>13.641999999999999</v>
      </c>
      <c r="I56" s="3">
        <f t="shared" si="3"/>
        <v>14</v>
      </c>
      <c r="J56" s="3">
        <v>13.641999999999999</v>
      </c>
      <c r="K56" s="3">
        <v>18</v>
      </c>
    </row>
    <row r="57" spans="1:11" ht="18.75" thickBot="1" x14ac:dyDescent="0.3">
      <c r="A57" s="2">
        <v>45816.679131944446</v>
      </c>
      <c r="B57" s="3">
        <v>22</v>
      </c>
      <c r="C57" s="4" t="s">
        <v>17</v>
      </c>
      <c r="D57" s="3">
        <v>18</v>
      </c>
      <c r="E57" s="3">
        <v>2</v>
      </c>
      <c r="F57" s="3">
        <v>3</v>
      </c>
      <c r="G57" s="3">
        <v>17.053999999999998</v>
      </c>
      <c r="I57" s="3">
        <f t="shared" si="3"/>
        <v>15</v>
      </c>
      <c r="J57" s="3">
        <v>17.053999999999998</v>
      </c>
      <c r="K57" s="3">
        <v>18</v>
      </c>
    </row>
    <row r="58" spans="1:11" ht="18.75" thickBot="1" x14ac:dyDescent="0.3">
      <c r="A58" s="2">
        <v>45816.679629629631</v>
      </c>
      <c r="B58" s="3">
        <v>20</v>
      </c>
      <c r="C58" s="4" t="s">
        <v>18</v>
      </c>
      <c r="D58" s="3">
        <v>20</v>
      </c>
      <c r="E58" s="3">
        <v>0</v>
      </c>
      <c r="F58" s="3">
        <v>2</v>
      </c>
      <c r="G58" s="3">
        <v>20.550999999999998</v>
      </c>
      <c r="I58" s="3">
        <f t="shared" si="3"/>
        <v>16</v>
      </c>
      <c r="J58" s="3">
        <v>20.550999999999998</v>
      </c>
      <c r="K58" s="3">
        <v>20</v>
      </c>
    </row>
    <row r="59" spans="1:11" ht="18.75" thickBot="1" x14ac:dyDescent="0.3">
      <c r="A59" s="2">
        <v>45816.680312500001</v>
      </c>
      <c r="B59" s="3">
        <v>22</v>
      </c>
      <c r="C59" s="4" t="s">
        <v>19</v>
      </c>
      <c r="D59" s="3">
        <v>16</v>
      </c>
      <c r="E59" s="3">
        <v>4</v>
      </c>
      <c r="F59" s="3">
        <v>4</v>
      </c>
      <c r="G59" s="3">
        <v>18.628</v>
      </c>
      <c r="I59" s="3">
        <f t="shared" si="3"/>
        <v>17</v>
      </c>
      <c r="J59" s="3">
        <v>18.628</v>
      </c>
      <c r="K59" s="3">
        <v>16</v>
      </c>
    </row>
    <row r="60" spans="1:11" ht="18.75" thickBot="1" x14ac:dyDescent="0.3">
      <c r="A60" s="2">
        <v>45816.682569444441</v>
      </c>
      <c r="B60" s="3">
        <v>19</v>
      </c>
      <c r="C60" s="4" t="s">
        <v>20</v>
      </c>
      <c r="D60" s="3">
        <v>20</v>
      </c>
      <c r="E60" s="3">
        <v>0</v>
      </c>
      <c r="F60" s="3">
        <v>1</v>
      </c>
      <c r="G60" s="3">
        <v>22.108000000000001</v>
      </c>
      <c r="I60" s="3">
        <f t="shared" si="3"/>
        <v>18</v>
      </c>
      <c r="J60" s="3">
        <v>22.108000000000001</v>
      </c>
      <c r="K60" s="3">
        <v>20</v>
      </c>
    </row>
    <row r="61" spans="1:11" ht="18.75" thickBot="1" x14ac:dyDescent="0.3">
      <c r="A61" s="2">
        <v>45816.764814814815</v>
      </c>
      <c r="B61" s="3">
        <v>22</v>
      </c>
      <c r="C61" s="4" t="s">
        <v>21</v>
      </c>
      <c r="D61" s="3">
        <v>19</v>
      </c>
      <c r="E61" s="3">
        <v>1</v>
      </c>
      <c r="F61" s="3">
        <v>0</v>
      </c>
      <c r="G61" s="3">
        <v>19.538</v>
      </c>
      <c r="I61" s="3">
        <f t="shared" si="3"/>
        <v>19</v>
      </c>
      <c r="J61" s="3">
        <v>19.538</v>
      </c>
      <c r="K61" s="3">
        <v>19</v>
      </c>
    </row>
    <row r="62" spans="1:11" ht="18.75" thickBot="1" x14ac:dyDescent="0.3">
      <c r="A62" s="2">
        <v>45816.765335648146</v>
      </c>
      <c r="B62" s="3">
        <v>22</v>
      </c>
      <c r="C62" s="4" t="s">
        <v>22</v>
      </c>
      <c r="D62" s="3">
        <v>18</v>
      </c>
      <c r="E62" s="3">
        <v>2</v>
      </c>
      <c r="F62" s="3">
        <v>0</v>
      </c>
      <c r="G62" s="3">
        <v>15.371</v>
      </c>
      <c r="I62" s="3">
        <f t="shared" si="3"/>
        <v>20</v>
      </c>
      <c r="J62" s="3">
        <v>15.371</v>
      </c>
      <c r="K62" s="3">
        <v>18</v>
      </c>
    </row>
    <row r="63" spans="1:11" ht="18.75" thickBot="1" x14ac:dyDescent="0.3">
      <c r="A63" s="2">
        <v>45816.798159722224</v>
      </c>
      <c r="B63" s="3">
        <v>19</v>
      </c>
      <c r="C63" s="4" t="s">
        <v>23</v>
      </c>
      <c r="D63" s="3">
        <v>20</v>
      </c>
      <c r="E63" s="3">
        <v>0</v>
      </c>
      <c r="F63" s="3">
        <v>3</v>
      </c>
      <c r="G63" s="3">
        <v>17.451000000000001</v>
      </c>
      <c r="I63" s="3">
        <f t="shared" si="3"/>
        <v>21</v>
      </c>
      <c r="J63" s="3">
        <v>17.451000000000001</v>
      </c>
      <c r="K63" s="3">
        <v>20</v>
      </c>
    </row>
    <row r="64" spans="1:11" ht="18.75" thickBot="1" x14ac:dyDescent="0.3">
      <c r="A64" s="2">
        <v>45816.798402777778</v>
      </c>
      <c r="B64" s="3">
        <v>19</v>
      </c>
      <c r="C64" s="4" t="s">
        <v>23</v>
      </c>
      <c r="D64" s="3">
        <v>18</v>
      </c>
      <c r="E64" s="3">
        <v>2</v>
      </c>
      <c r="F64" s="3">
        <v>2</v>
      </c>
      <c r="G64" s="3">
        <v>17.599</v>
      </c>
      <c r="I64" s="3">
        <f t="shared" si="3"/>
        <v>22</v>
      </c>
      <c r="J64" s="3">
        <v>17.599</v>
      </c>
      <c r="K64" s="3">
        <v>18</v>
      </c>
    </row>
    <row r="65" spans="1:11" ht="18.75" thickBot="1" x14ac:dyDescent="0.3">
      <c r="A65" s="2">
        <v>45816.798680555556</v>
      </c>
      <c r="B65" s="3">
        <v>19</v>
      </c>
      <c r="C65" s="4" t="s">
        <v>23</v>
      </c>
      <c r="D65" s="3">
        <v>20</v>
      </c>
      <c r="E65" s="3">
        <v>0</v>
      </c>
      <c r="F65" s="3">
        <v>1</v>
      </c>
      <c r="G65" s="3">
        <v>15.521000000000001</v>
      </c>
      <c r="I65" s="3">
        <f t="shared" si="3"/>
        <v>23</v>
      </c>
      <c r="J65" s="3">
        <v>15.521000000000001</v>
      </c>
      <c r="K65" s="3">
        <v>20</v>
      </c>
    </row>
    <row r="66" spans="1:11" ht="18.75" thickBot="1" x14ac:dyDescent="0.3">
      <c r="A66" s="2">
        <v>45816.798900462964</v>
      </c>
      <c r="B66" s="3">
        <v>19</v>
      </c>
      <c r="C66" s="4" t="s">
        <v>23</v>
      </c>
      <c r="D66" s="3">
        <v>20</v>
      </c>
      <c r="E66" s="3">
        <v>0</v>
      </c>
      <c r="F66" s="3">
        <v>3</v>
      </c>
      <c r="G66" s="3">
        <v>16.786999999999999</v>
      </c>
      <c r="I66" s="3">
        <f t="shared" si="3"/>
        <v>24</v>
      </c>
      <c r="J66" s="3">
        <v>16.786999999999999</v>
      </c>
      <c r="K66" s="3">
        <v>20</v>
      </c>
    </row>
    <row r="67" spans="1:11" ht="18.75" thickBot="1" x14ac:dyDescent="0.3">
      <c r="A67" s="2">
        <v>45816.799120370371</v>
      </c>
      <c r="B67" s="3">
        <v>19</v>
      </c>
      <c r="C67" s="4" t="s">
        <v>23</v>
      </c>
      <c r="D67" s="3">
        <v>19</v>
      </c>
      <c r="E67" s="3">
        <v>1</v>
      </c>
      <c r="F67" s="3">
        <v>3</v>
      </c>
      <c r="G67" s="3">
        <v>16.027999999999999</v>
      </c>
      <c r="I67" s="3">
        <f t="shared" si="3"/>
        <v>25</v>
      </c>
      <c r="J67" s="3">
        <v>16.027999999999999</v>
      </c>
      <c r="K67" s="3">
        <v>19</v>
      </c>
    </row>
    <row r="68" spans="1:11" ht="18.75" thickBot="1" x14ac:dyDescent="0.3">
      <c r="A68" s="2">
        <v>45816.799363425926</v>
      </c>
      <c r="B68" s="3">
        <v>19</v>
      </c>
      <c r="C68" s="4" t="s">
        <v>23</v>
      </c>
      <c r="D68" s="3">
        <v>20</v>
      </c>
      <c r="E68" s="3">
        <v>0</v>
      </c>
      <c r="F68" s="3">
        <v>0</v>
      </c>
      <c r="G68" s="3">
        <v>13.263999999999999</v>
      </c>
      <c r="I68" s="3">
        <f t="shared" si="3"/>
        <v>26</v>
      </c>
      <c r="J68" s="3">
        <v>13.263999999999999</v>
      </c>
      <c r="K68" s="3">
        <v>20</v>
      </c>
    </row>
    <row r="69" spans="1:11" ht="18.75" thickBot="1" x14ac:dyDescent="0.3">
      <c r="A69" s="2">
        <v>45816.801493055558</v>
      </c>
      <c r="B69" s="3">
        <v>10</v>
      </c>
      <c r="C69" s="4" t="s">
        <v>24</v>
      </c>
      <c r="D69" s="3">
        <v>18</v>
      </c>
      <c r="E69" s="3">
        <v>2</v>
      </c>
      <c r="F69" s="3">
        <v>2</v>
      </c>
      <c r="G69" s="3">
        <v>17.004999999999999</v>
      </c>
      <c r="I69" s="3">
        <f t="shared" si="3"/>
        <v>27</v>
      </c>
      <c r="J69" s="3">
        <v>17.004999999999999</v>
      </c>
      <c r="K69" s="3">
        <v>18</v>
      </c>
    </row>
    <row r="70" spans="1:11" ht="18.75" thickBot="1" x14ac:dyDescent="0.3">
      <c r="A70" s="2">
        <v>45816.801898148151</v>
      </c>
      <c r="B70" s="3">
        <v>10</v>
      </c>
      <c r="C70" s="4" t="s">
        <v>24</v>
      </c>
      <c r="D70" s="3">
        <v>20</v>
      </c>
      <c r="E70" s="3">
        <v>0</v>
      </c>
      <c r="F70" s="3">
        <v>1</v>
      </c>
      <c r="G70" s="3">
        <v>15.803000000000001</v>
      </c>
      <c r="I70" s="3">
        <f t="shared" si="3"/>
        <v>28</v>
      </c>
      <c r="J70" s="3">
        <v>15.803000000000001</v>
      </c>
      <c r="K70" s="3">
        <v>20</v>
      </c>
    </row>
    <row r="71" spans="1:11" ht="18.75" thickBot="1" x14ac:dyDescent="0.3">
      <c r="A71" s="2">
        <v>45816.802118055559</v>
      </c>
      <c r="B71" s="3">
        <v>10</v>
      </c>
      <c r="C71" s="4" t="s">
        <v>24</v>
      </c>
      <c r="D71" s="3">
        <v>19</v>
      </c>
      <c r="E71" s="3">
        <v>1</v>
      </c>
      <c r="F71" s="3">
        <v>2</v>
      </c>
      <c r="G71" s="3">
        <v>13.79</v>
      </c>
      <c r="I71" s="3">
        <f t="shared" si="3"/>
        <v>29</v>
      </c>
      <c r="J71" s="3">
        <v>13.79</v>
      </c>
      <c r="K71" s="3">
        <v>19</v>
      </c>
    </row>
    <row r="72" spans="1:11" ht="18.75" thickBot="1" x14ac:dyDescent="0.3">
      <c r="A72" s="2">
        <v>45816.802442129629</v>
      </c>
      <c r="B72" s="3">
        <v>10</v>
      </c>
      <c r="C72" s="4" t="s">
        <v>24</v>
      </c>
      <c r="D72" s="3">
        <v>20</v>
      </c>
      <c r="E72" s="3">
        <v>0</v>
      </c>
      <c r="F72" s="3">
        <v>4</v>
      </c>
      <c r="G72" s="3">
        <v>16.16</v>
      </c>
      <c r="I72" s="3">
        <f t="shared" si="3"/>
        <v>30</v>
      </c>
      <c r="J72" s="3">
        <v>16.16</v>
      </c>
      <c r="K72" s="3">
        <v>20</v>
      </c>
    </row>
    <row r="73" spans="1:11" ht="18.75" thickBot="1" x14ac:dyDescent="0.3">
      <c r="A73" s="2">
        <v>45816.987719907411</v>
      </c>
      <c r="B73" s="3">
        <v>53</v>
      </c>
      <c r="C73" s="4" t="s">
        <v>26</v>
      </c>
      <c r="D73" s="3">
        <v>20</v>
      </c>
      <c r="E73" s="3">
        <v>0</v>
      </c>
      <c r="F73" s="3">
        <v>0</v>
      </c>
      <c r="G73" s="3">
        <v>20.928999999999998</v>
      </c>
      <c r="I73" s="3">
        <f t="shared" si="3"/>
        <v>31</v>
      </c>
      <c r="J73" s="3">
        <v>20.928999999999998</v>
      </c>
      <c r="K73" s="3">
        <v>20</v>
      </c>
    </row>
    <row r="74" spans="1:11" ht="18.75" thickBot="1" x14ac:dyDescent="0.3">
      <c r="A74" s="2">
        <v>45816.994791666664</v>
      </c>
      <c r="B74" s="3">
        <v>20</v>
      </c>
      <c r="C74" s="4" t="s">
        <v>27</v>
      </c>
      <c r="D74" s="3">
        <v>20</v>
      </c>
      <c r="E74" s="3">
        <v>0</v>
      </c>
      <c r="F74" s="3">
        <v>4</v>
      </c>
      <c r="G74" s="3">
        <v>25.497</v>
      </c>
      <c r="I74" s="3">
        <f t="shared" si="3"/>
        <v>32</v>
      </c>
      <c r="J74" s="3">
        <v>25.497</v>
      </c>
      <c r="K74" s="3">
        <v>20</v>
      </c>
    </row>
    <row r="75" spans="1:11" ht="18.75" thickBot="1" x14ac:dyDescent="0.3">
      <c r="A75" s="2">
        <v>45817.653483796297</v>
      </c>
      <c r="B75" s="3">
        <v>11</v>
      </c>
      <c r="C75" s="4" t="s">
        <v>28</v>
      </c>
      <c r="D75" s="3">
        <v>20</v>
      </c>
      <c r="E75" s="3">
        <v>0</v>
      </c>
      <c r="F75" s="3">
        <v>0</v>
      </c>
      <c r="G75" s="3">
        <v>21.27</v>
      </c>
      <c r="I75" s="3">
        <f t="shared" si="3"/>
        <v>33</v>
      </c>
      <c r="J75" s="3">
        <v>21.27</v>
      </c>
      <c r="K75" s="3">
        <v>20</v>
      </c>
    </row>
  </sheetData>
  <autoFilter ref="A1:I38" xr:uid="{1EC66C68-765D-4674-A27C-26A8C8507DD8}"/>
  <mergeCells count="3">
    <mergeCell ref="Q1:R1"/>
    <mergeCell ref="N1:O1"/>
    <mergeCell ref="A41:I41"/>
  </mergeCells>
  <conditionalFormatting sqref="I13">
    <cfRule type="expression" dxfId="0" priority="3">
      <formula>$H2="Outlier"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35E4-0ECC-47FA-A0FB-E4E4DBB7B86A}">
  <dimension ref="A1:U215"/>
  <sheetViews>
    <sheetView topLeftCell="A4" zoomScale="70" zoomScaleNormal="70" workbookViewId="0">
      <selection activeCell="T7" sqref="T7:U10"/>
    </sheetView>
  </sheetViews>
  <sheetFormatPr defaultRowHeight="15" x14ac:dyDescent="0.25"/>
  <cols>
    <col min="1" max="1" width="17.28515625" bestFit="1" customWidth="1"/>
    <col min="2" max="2" width="4.7109375" bestFit="1" customWidth="1"/>
    <col min="3" max="3" width="21.140625" bestFit="1" customWidth="1"/>
    <col min="4" max="4" width="9" bestFit="1" customWidth="1"/>
    <col min="5" max="5" width="8.28515625" bestFit="1" customWidth="1"/>
    <col min="6" max="6" width="9" bestFit="1" customWidth="1"/>
    <col min="7" max="7" width="9.7109375" bestFit="1" customWidth="1"/>
    <col min="9" max="9" width="14.28515625" bestFit="1" customWidth="1"/>
    <col min="12" max="12" width="9" bestFit="1" customWidth="1"/>
    <col min="14" max="14" width="9.85546875" bestFit="1" customWidth="1"/>
    <col min="15" max="15" width="10.5703125" bestFit="1" customWidth="1"/>
    <col min="16" max="16" width="9.28515625" bestFit="1" customWidth="1"/>
    <col min="17" max="17" width="10" bestFit="1" customWidth="1"/>
    <col min="18" max="18" width="5.7109375" bestFit="1" customWidth="1"/>
    <col min="19" max="19" width="9" bestFit="1" customWidth="1"/>
    <col min="21" max="21" width="9" bestFit="1" customWidth="1"/>
  </cols>
  <sheetData>
    <row r="1" spans="1:21" ht="72.75" thickBo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68</v>
      </c>
      <c r="H1" s="11" t="s">
        <v>50</v>
      </c>
      <c r="I1" s="11" t="s">
        <v>53</v>
      </c>
      <c r="K1" s="8" t="s">
        <v>43</v>
      </c>
      <c r="L1" s="8" t="s">
        <v>44</v>
      </c>
      <c r="N1" s="43" t="s">
        <v>51</v>
      </c>
      <c r="O1" s="44"/>
      <c r="Q1" s="42" t="s">
        <v>52</v>
      </c>
      <c r="R1" s="42"/>
    </row>
    <row r="2" spans="1:21" ht="30.75" thickBot="1" x14ac:dyDescent="0.3">
      <c r="A2" s="26">
        <v>45436.378680555557</v>
      </c>
      <c r="B2" s="27">
        <v>42</v>
      </c>
      <c r="C2" s="4" t="s">
        <v>69</v>
      </c>
      <c r="D2" s="27">
        <v>20</v>
      </c>
      <c r="E2" s="27">
        <v>0</v>
      </c>
      <c r="F2" s="27">
        <v>1</v>
      </c>
      <c r="G2" s="27">
        <v>24.353000000000002</v>
      </c>
      <c r="H2" t="str">
        <f t="shared" ref="H2:H65" si="0">IF(OR(G2&lt;$O$7, G2&gt;$O$8), "Outlier", "Normal")</f>
        <v>Normal</v>
      </c>
      <c r="I2" t="str">
        <f t="shared" ref="I2:I38" si="1">IF(OR(D2&lt;$R$7, D2&gt;$R$8), "Outlier", "Normal")</f>
        <v>Normal</v>
      </c>
      <c r="K2" s="8" t="str" cm="1">
        <f t="array" ref="K2:K17">_xlfn.UNIQUE(C2:C38)</f>
        <v>S9pVuEljG26YQGXn</v>
      </c>
      <c r="L2" s="8">
        <f>_xlfn.XLOOKUP(K2, $C$2:$C$110, $B$2:$B$110)</f>
        <v>42</v>
      </c>
      <c r="N2" s="12" t="s">
        <v>45</v>
      </c>
      <c r="O2" s="18">
        <f>_xlfn.QUARTILE.INC(G2:G110, 1)</f>
        <v>17.322499999999998</v>
      </c>
      <c r="Q2" s="12" t="s">
        <v>45</v>
      </c>
      <c r="R2" s="18">
        <f>_xlfn.QUARTILE.INC(D2:D110, 1)</f>
        <v>20</v>
      </c>
    </row>
    <row r="3" spans="1:21" ht="30.75" thickBot="1" x14ac:dyDescent="0.3">
      <c r="A3" s="26">
        <v>45436.379490740743</v>
      </c>
      <c r="B3" s="27">
        <v>30</v>
      </c>
      <c r="C3" s="4" t="s">
        <v>70</v>
      </c>
      <c r="D3" s="27">
        <v>20</v>
      </c>
      <c r="E3" s="27">
        <v>0</v>
      </c>
      <c r="F3" s="27">
        <v>4</v>
      </c>
      <c r="G3" s="27">
        <v>19.001999999999999</v>
      </c>
      <c r="H3" t="str">
        <f t="shared" si="0"/>
        <v>Normal</v>
      </c>
      <c r="I3" t="str">
        <f t="shared" si="1"/>
        <v>Normal</v>
      </c>
      <c r="K3" s="8" t="str">
        <v>XzbZuolmYdO3c3bo</v>
      </c>
      <c r="L3" s="8">
        <f>_xlfn.XLOOKUP(K3, $C$2:$C$110, $B$2:$B$110)</f>
        <v>30</v>
      </c>
      <c r="N3" s="14" t="s">
        <v>46</v>
      </c>
      <c r="O3" s="13">
        <f>_xlfn.QUARTILE.INC(G2:G110, 3)</f>
        <v>22.36525</v>
      </c>
      <c r="Q3" s="14" t="s">
        <v>46</v>
      </c>
      <c r="R3" s="13">
        <f>_xlfn.QUARTILE.INC(D2:D110, 3)</f>
        <v>20</v>
      </c>
    </row>
    <row r="4" spans="1:21" ht="30.75" thickBot="1" x14ac:dyDescent="0.3">
      <c r="A4" s="26">
        <v>45436.379895833335</v>
      </c>
      <c r="B4" s="27">
        <v>30</v>
      </c>
      <c r="C4" s="4" t="s">
        <v>70</v>
      </c>
      <c r="D4" s="27">
        <v>20</v>
      </c>
      <c r="E4" s="27">
        <v>0</v>
      </c>
      <c r="F4" s="27">
        <v>2</v>
      </c>
      <c r="G4" s="27">
        <v>17.699000000000002</v>
      </c>
      <c r="H4" t="str">
        <f t="shared" si="0"/>
        <v>Normal</v>
      </c>
      <c r="I4" t="str">
        <f t="shared" si="1"/>
        <v>Normal</v>
      </c>
      <c r="K4" s="8" t="str">
        <v>Edgr7UfaJZaEuewB</v>
      </c>
      <c r="L4" s="8">
        <f>_xlfn.XLOOKUP(K4, $C$2:$C$110, $B$2:$B$110)</f>
        <v>30</v>
      </c>
      <c r="N4" s="14"/>
      <c r="O4" s="15"/>
      <c r="Q4" s="14"/>
      <c r="R4" s="15"/>
    </row>
    <row r="5" spans="1:21" ht="30.75" thickBot="1" x14ac:dyDescent="0.3">
      <c r="A5" s="26">
        <v>45436.380335648151</v>
      </c>
      <c r="B5" s="27">
        <v>30</v>
      </c>
      <c r="C5" s="4" t="s">
        <v>70</v>
      </c>
      <c r="D5" s="27">
        <v>20</v>
      </c>
      <c r="E5" s="27">
        <v>0</v>
      </c>
      <c r="F5" s="27">
        <v>5</v>
      </c>
      <c r="G5" s="27">
        <v>21.652000000000001</v>
      </c>
      <c r="H5" t="str">
        <f t="shared" si="0"/>
        <v>Normal</v>
      </c>
      <c r="I5" t="str">
        <f t="shared" si="1"/>
        <v>Normal</v>
      </c>
      <c r="K5" s="8" t="str">
        <v>Q74IpRGo13tjjwPV</v>
      </c>
      <c r="L5" s="8">
        <f t="shared" ref="L5:L16" si="2">_xlfn.XLOOKUP(K5, $C$2:$C$38, $B$2:$B$38)</f>
        <v>23</v>
      </c>
      <c r="N5" s="14" t="s">
        <v>47</v>
      </c>
      <c r="O5" s="15">
        <f>O3-O2</f>
        <v>5.0427500000000016</v>
      </c>
      <c r="Q5" s="14" t="s">
        <v>47</v>
      </c>
      <c r="R5" s="15">
        <f>R3-R2</f>
        <v>0</v>
      </c>
    </row>
    <row r="6" spans="1:21" ht="30.75" thickBot="1" x14ac:dyDescent="0.3">
      <c r="A6" s="26">
        <v>45436.380659722221</v>
      </c>
      <c r="B6" s="27">
        <v>30</v>
      </c>
      <c r="C6" s="4" t="s">
        <v>70</v>
      </c>
      <c r="D6" s="27">
        <v>20</v>
      </c>
      <c r="E6" s="27">
        <v>0</v>
      </c>
      <c r="F6" s="27">
        <v>2</v>
      </c>
      <c r="G6" s="27">
        <v>18.216999999999999</v>
      </c>
      <c r="H6" t="str">
        <f t="shared" si="0"/>
        <v>Normal</v>
      </c>
      <c r="I6" t="str">
        <f t="shared" si="1"/>
        <v>Normal</v>
      </c>
      <c r="K6" s="8" t="str">
        <v>iXPQGDyzvUAneNsw</v>
      </c>
      <c r="L6" s="8">
        <f>_xlfn.XLOOKUP(K6, $C$2:$C$110, $B$2:$B$110)</f>
        <v>35</v>
      </c>
      <c r="N6" s="14"/>
      <c r="O6" s="15"/>
      <c r="Q6" s="14"/>
      <c r="R6" s="15"/>
    </row>
    <row r="7" spans="1:21" ht="30.75" thickBot="1" x14ac:dyDescent="0.3">
      <c r="A7" s="26">
        <v>45436.381018518521</v>
      </c>
      <c r="B7" s="27">
        <v>30</v>
      </c>
      <c r="C7" s="4" t="s">
        <v>71</v>
      </c>
      <c r="D7" s="27">
        <v>20</v>
      </c>
      <c r="E7" s="27">
        <v>0</v>
      </c>
      <c r="F7" s="27">
        <v>1</v>
      </c>
      <c r="G7" s="27">
        <v>17.837</v>
      </c>
      <c r="H7" t="str">
        <f t="shared" si="0"/>
        <v>Normal</v>
      </c>
      <c r="I7" t="str">
        <f t="shared" si="1"/>
        <v>Normal</v>
      </c>
      <c r="K7" s="8" t="str">
        <v>L0g8MvdMcTpnmRSF</v>
      </c>
      <c r="L7" s="8">
        <f t="shared" si="2"/>
        <v>30</v>
      </c>
      <c r="N7" s="14" t="s">
        <v>48</v>
      </c>
      <c r="O7" s="15">
        <f>O2-1.5*O5</f>
        <v>9.7583749999999956</v>
      </c>
      <c r="Q7" s="14" t="s">
        <v>48</v>
      </c>
      <c r="R7" s="15">
        <f>R2-1.5*R5</f>
        <v>20</v>
      </c>
      <c r="T7" t="s">
        <v>65</v>
      </c>
      <c r="U7">
        <f>COUNT(D2:D110)</f>
        <v>106</v>
      </c>
    </row>
    <row r="8" spans="1:21" ht="30.75" thickBot="1" x14ac:dyDescent="0.3">
      <c r="A8" s="26">
        <v>45436.380972222221</v>
      </c>
      <c r="B8" s="27">
        <v>23</v>
      </c>
      <c r="C8" s="4" t="s">
        <v>72</v>
      </c>
      <c r="D8" s="27">
        <v>20</v>
      </c>
      <c r="E8" s="27">
        <v>0</v>
      </c>
      <c r="F8" s="27">
        <v>1</v>
      </c>
      <c r="G8" s="27">
        <v>29.446999999999999</v>
      </c>
      <c r="H8" t="str">
        <f t="shared" si="0"/>
        <v>Normal</v>
      </c>
      <c r="I8" t="str">
        <f t="shared" si="1"/>
        <v>Normal</v>
      </c>
      <c r="K8" s="8" t="str">
        <v>gWCJF3HiBz52kzb7</v>
      </c>
      <c r="L8" s="8">
        <f>_xlfn.XLOOKUP(K8, $C$2:$C$110, $B$2:$B$110)</f>
        <v>28</v>
      </c>
      <c r="N8" s="16" t="s">
        <v>49</v>
      </c>
      <c r="O8" s="17">
        <f>O3+1.5*O5</f>
        <v>29.929375</v>
      </c>
      <c r="Q8" s="16" t="s">
        <v>49</v>
      </c>
      <c r="R8" s="17">
        <f>R3+1.5*R5</f>
        <v>20</v>
      </c>
      <c r="T8" t="s">
        <v>134</v>
      </c>
      <c r="U8">
        <f>U7-U9</f>
        <v>88</v>
      </c>
    </row>
    <row r="9" spans="1:21" ht="30.75" thickBot="1" x14ac:dyDescent="0.3">
      <c r="A9" s="26">
        <v>45436.381377314814</v>
      </c>
      <c r="B9" s="27">
        <v>23</v>
      </c>
      <c r="C9" s="4" t="s">
        <v>72</v>
      </c>
      <c r="D9" s="27">
        <v>20</v>
      </c>
      <c r="E9" s="27">
        <v>0</v>
      </c>
      <c r="F9" s="27">
        <v>1</v>
      </c>
      <c r="G9" s="27">
        <v>25.306999999999999</v>
      </c>
      <c r="H9" t="str">
        <f t="shared" si="0"/>
        <v>Normal</v>
      </c>
      <c r="I9" t="str">
        <f t="shared" si="1"/>
        <v>Normal</v>
      </c>
      <c r="K9" s="8" t="str">
        <v>GJbhz3HJd0ZWyAR6</v>
      </c>
      <c r="L9" s="8">
        <f t="shared" si="2"/>
        <v>28</v>
      </c>
      <c r="N9" s="14" t="s">
        <v>61</v>
      </c>
      <c r="O9">
        <f>COUNTIF(H2:H110, "Outlier")</f>
        <v>10</v>
      </c>
      <c r="Q9" s="14" t="s">
        <v>61</v>
      </c>
      <c r="R9">
        <f>COUNTIF(I2:I110, "Outlier")</f>
        <v>8</v>
      </c>
      <c r="T9" t="s">
        <v>62</v>
      </c>
      <c r="U9">
        <f>O9+R9</f>
        <v>18</v>
      </c>
    </row>
    <row r="10" spans="1:21" ht="30.75" thickBot="1" x14ac:dyDescent="0.3">
      <c r="A10" s="26">
        <v>45436.386296296296</v>
      </c>
      <c r="B10" s="27">
        <v>35</v>
      </c>
      <c r="C10" s="4" t="s">
        <v>73</v>
      </c>
      <c r="D10" s="27">
        <v>20</v>
      </c>
      <c r="E10" s="27">
        <v>0</v>
      </c>
      <c r="F10" s="27">
        <v>5</v>
      </c>
      <c r="G10" s="27">
        <v>20.526</v>
      </c>
      <c r="H10" t="str">
        <f t="shared" si="0"/>
        <v>Normal</v>
      </c>
      <c r="I10" t="str">
        <f t="shared" si="1"/>
        <v>Normal</v>
      </c>
      <c r="K10" s="8" t="str">
        <v>Y3bZ73LQsQ9aBW3T</v>
      </c>
      <c r="L10" s="8">
        <f>_xlfn.XLOOKUP(K10, $C$2:$C$110, $B$2:$B$110)</f>
        <v>29</v>
      </c>
      <c r="T10" t="s">
        <v>63</v>
      </c>
      <c r="U10" s="21">
        <f>U9/U7</f>
        <v>0.16981132075471697</v>
      </c>
    </row>
    <row r="11" spans="1:21" ht="30.75" thickBot="1" x14ac:dyDescent="0.3">
      <c r="A11" s="26">
        <v>45436.386562500003</v>
      </c>
      <c r="B11" s="27">
        <v>35</v>
      </c>
      <c r="C11" s="4" t="s">
        <v>73</v>
      </c>
      <c r="D11" s="27">
        <v>20</v>
      </c>
      <c r="E11" s="27">
        <v>0</v>
      </c>
      <c r="F11" s="27">
        <v>7</v>
      </c>
      <c r="G11" s="27">
        <v>19.692</v>
      </c>
      <c r="H11" t="str">
        <f>'Dados Recolhidos'!H2</f>
        <v>Normal</v>
      </c>
      <c r="I11" t="str">
        <f t="shared" si="1"/>
        <v>Normal</v>
      </c>
      <c r="K11" s="8" t="str">
        <v>DVUPqrA6T1ypk3YM</v>
      </c>
      <c r="L11" s="8">
        <f t="shared" si="2"/>
        <v>30</v>
      </c>
    </row>
    <row r="12" spans="1:21" ht="30.75" thickBot="1" x14ac:dyDescent="0.3">
      <c r="A12" s="26">
        <v>45436.386817129627</v>
      </c>
      <c r="B12" s="27">
        <v>35</v>
      </c>
      <c r="C12" s="4" t="s">
        <v>73</v>
      </c>
      <c r="D12" s="27">
        <v>20</v>
      </c>
      <c r="E12" s="27">
        <v>0</v>
      </c>
      <c r="F12" s="27">
        <v>2</v>
      </c>
      <c r="G12" s="27">
        <v>17.161000000000001</v>
      </c>
      <c r="H12" t="str">
        <f t="shared" si="0"/>
        <v>Normal</v>
      </c>
      <c r="I12" t="str">
        <f t="shared" si="1"/>
        <v>Normal</v>
      </c>
      <c r="K12" s="8" t="str">
        <v>5iCbySSMl1tiSgKQ</v>
      </c>
      <c r="L12" s="8">
        <f>_xlfn.XLOOKUP(K12, $C$2:$C$110, $B$2:$B$110)</f>
        <v>30</v>
      </c>
      <c r="N12" s="5" t="s">
        <v>30</v>
      </c>
      <c r="O12" s="5" t="s">
        <v>58</v>
      </c>
      <c r="P12" s="19" t="s">
        <v>60</v>
      </c>
    </row>
    <row r="13" spans="1:21" ht="30.75" thickBot="1" x14ac:dyDescent="0.3">
      <c r="A13" s="26">
        <v>45436.387071759258</v>
      </c>
      <c r="B13" s="27">
        <v>35</v>
      </c>
      <c r="C13" s="4" t="s">
        <v>73</v>
      </c>
      <c r="D13" s="27">
        <v>20</v>
      </c>
      <c r="E13" s="27">
        <v>0</v>
      </c>
      <c r="F13" s="27">
        <v>3</v>
      </c>
      <c r="G13" s="27">
        <v>16.841000000000001</v>
      </c>
      <c r="H13" t="str">
        <f t="shared" si="0"/>
        <v>Normal</v>
      </c>
      <c r="I13" t="str">
        <f t="shared" si="1"/>
        <v>Normal</v>
      </c>
      <c r="K13" s="8" t="str">
        <v>JauuGBAOEsMVHdex</v>
      </c>
      <c r="L13" s="8">
        <f t="shared" si="2"/>
        <v>28</v>
      </c>
      <c r="N13" s="6" t="s">
        <v>54</v>
      </c>
      <c r="O13" s="20">
        <f>AVERAGE($L$2:$L$17)</f>
        <v>29.8125</v>
      </c>
      <c r="P13" s="20">
        <f>AVERAGE($L$2:$L$17)</f>
        <v>29.8125</v>
      </c>
    </row>
    <row r="14" spans="1:21" ht="30.75" thickBot="1" x14ac:dyDescent="0.3">
      <c r="A14" s="26">
        <v>45436.409895833334</v>
      </c>
      <c r="B14" s="27">
        <v>30</v>
      </c>
      <c r="C14" s="4" t="s">
        <v>74</v>
      </c>
      <c r="D14" s="27">
        <v>20</v>
      </c>
      <c r="E14" s="27">
        <v>0</v>
      </c>
      <c r="F14" s="27">
        <v>2</v>
      </c>
      <c r="G14" s="27">
        <v>23.177</v>
      </c>
      <c r="H14" t="str">
        <f t="shared" si="0"/>
        <v>Normal</v>
      </c>
      <c r="I14" t="str">
        <f t="shared" si="1"/>
        <v>Normal</v>
      </c>
      <c r="K14" s="8" t="str">
        <v>bKR1lPmjBmnmC3Af</v>
      </c>
      <c r="L14" s="8">
        <f t="shared" si="2"/>
        <v>30</v>
      </c>
      <c r="N14" s="6" t="s">
        <v>55</v>
      </c>
      <c r="O14" s="20">
        <f>AVERAGEIFS(D2:D110,H2:H110,"Normal", I2:I110, "Normal")</f>
        <v>20</v>
      </c>
      <c r="P14" s="20">
        <f>AVERAGE(D2:D110)</f>
        <v>19.254716981132077</v>
      </c>
    </row>
    <row r="15" spans="1:21" ht="30.75" thickBot="1" x14ac:dyDescent="0.3">
      <c r="A15" s="26">
        <v>45436.410219907404</v>
      </c>
      <c r="B15" s="27">
        <v>30</v>
      </c>
      <c r="C15" s="4" t="s">
        <v>74</v>
      </c>
      <c r="D15" s="27">
        <v>20</v>
      </c>
      <c r="E15" s="27">
        <v>0</v>
      </c>
      <c r="F15" s="27">
        <v>1</v>
      </c>
      <c r="G15" s="27">
        <v>22.504000000000001</v>
      </c>
      <c r="H15" t="str">
        <f t="shared" si="0"/>
        <v>Normal</v>
      </c>
      <c r="I15" t="str">
        <f t="shared" si="1"/>
        <v>Normal</v>
      </c>
      <c r="K15" s="8" t="str">
        <v>b7tuxpOEliNVQKs3</v>
      </c>
      <c r="L15" s="8">
        <f>_xlfn.XLOOKUP(K15, $C$2:$C$110, $B$2:$B$110)</f>
        <v>19</v>
      </c>
      <c r="N15" s="6" t="s">
        <v>56</v>
      </c>
      <c r="O15" s="20">
        <f>AVERAGEIFS(E2:E110,H2:H110,"Normal", I2:I110, "Normal")</f>
        <v>0</v>
      </c>
      <c r="P15" s="20">
        <f>AVERAGE(E2:E110)</f>
        <v>0.74528301886792447</v>
      </c>
    </row>
    <row r="16" spans="1:21" ht="30.75" thickBot="1" x14ac:dyDescent="0.3">
      <c r="A16" s="26">
        <v>45436.410543981481</v>
      </c>
      <c r="B16" s="27">
        <v>30</v>
      </c>
      <c r="C16" s="4" t="s">
        <v>74</v>
      </c>
      <c r="D16" s="27">
        <v>20</v>
      </c>
      <c r="E16" s="27">
        <v>0</v>
      </c>
      <c r="F16" s="27">
        <v>2</v>
      </c>
      <c r="G16" s="27">
        <v>23.736000000000001</v>
      </c>
      <c r="H16" t="str">
        <f t="shared" si="0"/>
        <v>Normal</v>
      </c>
      <c r="I16" t="str">
        <f t="shared" si="1"/>
        <v>Normal</v>
      </c>
      <c r="K16" s="8" t="str">
        <v>HVrc7j2iD8iuc3hH</v>
      </c>
      <c r="L16" s="8">
        <f t="shared" si="2"/>
        <v>35</v>
      </c>
      <c r="N16" s="6" t="s">
        <v>59</v>
      </c>
      <c r="O16" s="20">
        <f>AVERAGEIFS(F2:F110,H2:H110,"Normal", I2:I110, "Normal")</f>
        <v>2.096774193548387</v>
      </c>
      <c r="P16" s="20">
        <f>AVERAGE(F2:F110)</f>
        <v>2.1226415094339623</v>
      </c>
    </row>
    <row r="17" spans="1:19" ht="30.75" thickBot="1" x14ac:dyDescent="0.3">
      <c r="A17" s="26">
        <v>45436.410868055558</v>
      </c>
      <c r="B17" s="27">
        <v>30</v>
      </c>
      <c r="C17" s="4" t="s">
        <v>74</v>
      </c>
      <c r="D17" s="27">
        <v>20</v>
      </c>
      <c r="E17" s="27">
        <v>0</v>
      </c>
      <c r="F17" s="27">
        <v>0</v>
      </c>
      <c r="G17" s="27">
        <v>22.373999999999999</v>
      </c>
      <c r="H17" t="str">
        <f t="shared" si="0"/>
        <v>Normal</v>
      </c>
      <c r="I17" t="str">
        <f t="shared" si="1"/>
        <v>Normal</v>
      </c>
      <c r="K17" s="8" t="str">
        <v>T1JTrkB7sskcLV5Q</v>
      </c>
      <c r="L17" s="8">
        <f>_xlfn.XLOOKUP(K17, $C$2:$C$110, $B$2:$B$110)</f>
        <v>30</v>
      </c>
      <c r="N17" s="6" t="s">
        <v>57</v>
      </c>
      <c r="O17" s="7">
        <f>AVERAGEIFS(G2:G110,H2:H110,"Normal", I2:I110, "Normal")</f>
        <v>19.593989247311821</v>
      </c>
      <c r="P17" s="20">
        <f>AVERAGE(G2:G38)</f>
        <v>20.687513513513508</v>
      </c>
    </row>
    <row r="18" spans="1:19" ht="30.75" thickBot="1" x14ac:dyDescent="0.3">
      <c r="A18" s="26">
        <v>45436.426122685189</v>
      </c>
      <c r="B18" s="27">
        <v>28</v>
      </c>
      <c r="C18" s="4" t="s">
        <v>75</v>
      </c>
      <c r="D18" s="27">
        <v>20</v>
      </c>
      <c r="E18" s="27">
        <v>0</v>
      </c>
      <c r="F18" s="27">
        <v>8</v>
      </c>
      <c r="G18" s="27">
        <v>25.829000000000001</v>
      </c>
      <c r="H18" t="str">
        <f t="shared" si="0"/>
        <v>Normal</v>
      </c>
      <c r="I18" t="str">
        <f t="shared" si="1"/>
        <v>Normal</v>
      </c>
    </row>
    <row r="19" spans="1:19" ht="30.75" thickBot="1" x14ac:dyDescent="0.3">
      <c r="A19" s="26">
        <v>45436.427291666667</v>
      </c>
      <c r="B19" s="27">
        <v>28</v>
      </c>
      <c r="C19" s="4" t="s">
        <v>76</v>
      </c>
      <c r="D19" s="27">
        <v>20</v>
      </c>
      <c r="E19" s="27">
        <v>0</v>
      </c>
      <c r="F19" s="27">
        <v>2</v>
      </c>
      <c r="G19" s="27">
        <v>19.457999999999998</v>
      </c>
      <c r="H19" t="str">
        <f t="shared" si="0"/>
        <v>Normal</v>
      </c>
      <c r="I19" t="str">
        <f t="shared" si="1"/>
        <v>Normal</v>
      </c>
    </row>
    <row r="20" spans="1:19" ht="44.25" thickBot="1" x14ac:dyDescent="0.3">
      <c r="A20" s="26">
        <v>45436.427800925929</v>
      </c>
      <c r="B20" s="27">
        <v>28</v>
      </c>
      <c r="C20" s="4" t="s">
        <v>76</v>
      </c>
      <c r="D20" s="27">
        <v>20</v>
      </c>
      <c r="E20" s="27">
        <v>0</v>
      </c>
      <c r="F20" s="27">
        <v>1</v>
      </c>
      <c r="G20" s="27">
        <v>18.731999999999999</v>
      </c>
      <c r="H20" t="str">
        <f t="shared" si="0"/>
        <v>Normal</v>
      </c>
      <c r="I20" t="str">
        <f t="shared" si="1"/>
        <v>Normal</v>
      </c>
      <c r="N20" s="22" t="s">
        <v>64</v>
      </c>
      <c r="O20" s="24" t="s">
        <v>31</v>
      </c>
      <c r="P20" s="24" t="s">
        <v>32</v>
      </c>
      <c r="Q20" s="24" t="s">
        <v>33</v>
      </c>
      <c r="R20" s="24" t="s">
        <v>34</v>
      </c>
      <c r="S20" s="24" t="s">
        <v>35</v>
      </c>
    </row>
    <row r="21" spans="1:19" ht="30.75" thickBot="1" x14ac:dyDescent="0.3">
      <c r="A21" s="26">
        <v>45436.427986111114</v>
      </c>
      <c r="B21" s="27">
        <v>29</v>
      </c>
      <c r="C21" s="4" t="s">
        <v>77</v>
      </c>
      <c r="D21" s="27">
        <v>20</v>
      </c>
      <c r="E21" s="27">
        <v>0</v>
      </c>
      <c r="F21" s="27">
        <v>2</v>
      </c>
      <c r="G21" s="27">
        <v>22.282</v>
      </c>
      <c r="H21" t="str">
        <f t="shared" si="0"/>
        <v>Normal</v>
      </c>
      <c r="I21" t="str">
        <f t="shared" si="1"/>
        <v>Normal</v>
      </c>
      <c r="N21" s="23" t="s">
        <v>36</v>
      </c>
      <c r="O21" s="25">
        <f>AVERAGE($L$2:$L$17)</f>
        <v>29.8125</v>
      </c>
      <c r="P21" s="25">
        <f>AVERAGEIFS(D2:D110,H2:H110,"Normal", I2:I110, "Normal")</f>
        <v>20</v>
      </c>
      <c r="Q21" s="25">
        <f>AVERAGEIFS(E2:E110,H2:H110,"Normal", I2:I110, "Normal")</f>
        <v>0</v>
      </c>
      <c r="R21" s="25">
        <f>AVERAGEIFS(F2:F110,H2:H110,"Normal", I2:I110, "Normal")</f>
        <v>2.096774193548387</v>
      </c>
      <c r="S21" s="25">
        <f>AVERAGEIFS(G2:G110,H2:H110,"Normal", I2:I110, "Normal")</f>
        <v>19.593989247311821</v>
      </c>
    </row>
    <row r="22" spans="1:19" ht="30.75" thickBot="1" x14ac:dyDescent="0.3">
      <c r="A22" s="26">
        <v>45436.428287037037</v>
      </c>
      <c r="B22" s="27">
        <v>30</v>
      </c>
      <c r="C22" s="4" t="s">
        <v>78</v>
      </c>
      <c r="D22" s="27">
        <v>20</v>
      </c>
      <c r="E22" s="27">
        <v>0</v>
      </c>
      <c r="F22" s="27">
        <v>1</v>
      </c>
      <c r="G22" s="27">
        <v>18.861999999999998</v>
      </c>
      <c r="H22" t="str">
        <f t="shared" si="0"/>
        <v>Normal</v>
      </c>
      <c r="I22" t="str">
        <f t="shared" si="1"/>
        <v>Normal</v>
      </c>
      <c r="N22" s="23" t="s">
        <v>37</v>
      </c>
      <c r="O22" s="25" cm="1">
        <f t="array" ref="O22">_xlfn.STDEV.S(IF((H2:H110="Normal")*(I2:I110="Normal"), G2:G110))</f>
        <v>3.7555355505736672</v>
      </c>
      <c r="P22" s="25" cm="1">
        <f t="array" ref="P22">_xlfn.STDEV.S(IF((H2:H110="Normal")*(I2:I110="Normal"), D2:D110))</f>
        <v>0</v>
      </c>
      <c r="Q22" s="25" cm="1">
        <f t="array" ref="Q22">_xlfn.STDEV.S(IF((H2:H110="Normal")*(I2:I110="Normal"), E2:E110))</f>
        <v>0</v>
      </c>
      <c r="R22" s="25" cm="1">
        <f t="array" ref="R22">_xlfn.STDEV.S(IF((H2:H110="Normal")*(I2:I110="Normal"), F2:F110))</f>
        <v>1.9114330847789722</v>
      </c>
      <c r="S22" s="25" cm="1">
        <f t="array" ref="S22">_xlfn.STDEV.S(IF((H2:H110="Normal")*(I2:I110="Normal"), G2:G110))</f>
        <v>3.7555355505736672</v>
      </c>
    </row>
    <row r="23" spans="1:19" ht="30.75" thickBot="1" x14ac:dyDescent="0.3">
      <c r="A23" s="26">
        <v>45436.42832175926</v>
      </c>
      <c r="B23" s="27">
        <v>29</v>
      </c>
      <c r="C23" s="4" t="s">
        <v>77</v>
      </c>
      <c r="D23" s="27">
        <v>20</v>
      </c>
      <c r="E23" s="27">
        <v>0</v>
      </c>
      <c r="F23" s="27">
        <v>0</v>
      </c>
      <c r="G23" s="27">
        <v>20.347000000000001</v>
      </c>
      <c r="H23" t="str">
        <f t="shared" si="0"/>
        <v>Normal</v>
      </c>
      <c r="I23" t="str">
        <f t="shared" si="1"/>
        <v>Normal</v>
      </c>
      <c r="N23" s="23" t="s">
        <v>38</v>
      </c>
      <c r="O23" s="25">
        <f>MIN(L2:L24)</f>
        <v>19</v>
      </c>
      <c r="P23" s="25" cm="1">
        <f t="array" ref="P23">MIN(IF((H2:H110="Normal")*(I2:I110="Normal"), D2:D110))</f>
        <v>20</v>
      </c>
      <c r="Q23" s="25" cm="1">
        <f t="array" ref="Q23">MIN(IF((H2:H110="Normal")*(I2:I110="Normal"), E2:E110))</f>
        <v>0</v>
      </c>
      <c r="R23" s="25" cm="1">
        <f t="array" ref="R23">MIN(IF((H2:H110="Normal")*(I2:I110="Normal"), F2:F110))</f>
        <v>0</v>
      </c>
      <c r="S23" s="25" cm="1">
        <f t="array" ref="S23">MIN(IF((H2:H110="Normal")*(I2:I110="Normal"), G2:G110))</f>
        <v>11.699</v>
      </c>
    </row>
    <row r="24" spans="1:19" ht="30.75" thickBot="1" x14ac:dyDescent="0.3">
      <c r="A24" s="26">
        <v>45436.428553240738</v>
      </c>
      <c r="B24" s="27">
        <v>30</v>
      </c>
      <c r="C24" s="4" t="s">
        <v>78</v>
      </c>
      <c r="D24" s="27">
        <v>20</v>
      </c>
      <c r="E24" s="27">
        <v>0</v>
      </c>
      <c r="F24" s="27">
        <v>1</v>
      </c>
      <c r="G24" s="27">
        <v>18.628</v>
      </c>
      <c r="H24" t="str">
        <f t="shared" si="0"/>
        <v>Normal</v>
      </c>
      <c r="I24" t="str">
        <f t="shared" si="1"/>
        <v>Normal</v>
      </c>
      <c r="N24" s="23" t="s">
        <v>39</v>
      </c>
      <c r="O24" s="25">
        <f>_xlfn.QUARTILE.INC(L2:L24,1)</f>
        <v>28</v>
      </c>
      <c r="P24" s="25" cm="1">
        <f t="array" ref="P24">_xlfn.QUARTILE.INC(IF((H2:H110="Normal")*(I2:I110="Normal"), D2:D110),1)</f>
        <v>20</v>
      </c>
      <c r="Q24" s="25" cm="1">
        <f t="array" ref="Q24">_xlfn.QUARTILE.INC(IF((H2:H110="Normal")*(I2:I110="Normal"), E2:E110),1)</f>
        <v>0</v>
      </c>
      <c r="R24" s="25" cm="1">
        <f t="array" ref="R24">_xlfn.QUARTILE.INC(IF((H2:H110="Normal")*(I2:I110="Normal"), F2:F110),1)</f>
        <v>1</v>
      </c>
      <c r="S24" s="25" cm="1">
        <f t="array" ref="S24">_xlfn.QUARTILE.INC(IF((H2:H110="Normal")*(I2:I110="Normal"), G2:G110),1)</f>
        <v>17.806000000000001</v>
      </c>
    </row>
    <row r="25" spans="1:19" ht="30.75" thickBot="1" x14ac:dyDescent="0.3">
      <c r="A25" s="26">
        <v>45436.428726851853</v>
      </c>
      <c r="B25" s="27">
        <v>30</v>
      </c>
      <c r="C25" s="4" t="s">
        <v>79</v>
      </c>
      <c r="D25" s="27">
        <v>20</v>
      </c>
      <c r="E25" s="27">
        <v>0</v>
      </c>
      <c r="F25" s="27">
        <v>3</v>
      </c>
      <c r="G25" s="27">
        <v>21.157</v>
      </c>
      <c r="H25" t="str">
        <f t="shared" si="0"/>
        <v>Normal</v>
      </c>
      <c r="I25" t="str">
        <f t="shared" si="1"/>
        <v>Normal</v>
      </c>
      <c r="N25" s="23" t="s">
        <v>40</v>
      </c>
      <c r="O25" s="25">
        <f>_xlfn.QUARTILE.INC(L2:L24,2)</f>
        <v>30</v>
      </c>
      <c r="P25" s="25" cm="1">
        <f t="array" ref="P25">_xlfn.QUARTILE.INC(IF((H2:H110="Normal")*(I2:I110="Normal"), D2:D110),2)</f>
        <v>20</v>
      </c>
      <c r="Q25" s="25" cm="1">
        <f t="array" ref="Q25">_xlfn.QUARTILE.INC(IF((H2:H110="Normal")*(I2:I110="Normal"), E2:E110),2)</f>
        <v>0</v>
      </c>
      <c r="R25" s="25" cm="1">
        <f t="array" ref="R25">_xlfn.QUARTILE.INC(IF((H2:H110="Normal")*(I2:I110="Normal"), F2:F110),2)</f>
        <v>2</v>
      </c>
      <c r="S25" s="25" cm="1">
        <f t="array" ref="S25">_xlfn.QUARTILE.INC(IF((H2:H110="Normal")*(I2:I110="Normal"), G2:G110),2)</f>
        <v>19.457999999999998</v>
      </c>
    </row>
    <row r="26" spans="1:19" ht="30.75" thickBot="1" x14ac:dyDescent="0.3">
      <c r="A26" s="26">
        <v>45436.428842592592</v>
      </c>
      <c r="B26" s="27">
        <v>30</v>
      </c>
      <c r="C26" s="4" t="s">
        <v>78</v>
      </c>
      <c r="D26" s="27">
        <v>20</v>
      </c>
      <c r="E26" s="27">
        <v>0</v>
      </c>
      <c r="F26" s="27">
        <v>2</v>
      </c>
      <c r="G26" s="27">
        <v>18.225999999999999</v>
      </c>
      <c r="H26" t="str">
        <f t="shared" si="0"/>
        <v>Normal</v>
      </c>
      <c r="I26" t="str">
        <f>IF(OR(D26&lt;$R$7, D26&gt;$R$8), "Outlier", "Normal")</f>
        <v>Normal</v>
      </c>
      <c r="N26" s="23" t="s">
        <v>41</v>
      </c>
      <c r="O26" s="25">
        <f>_xlfn.QUARTILE.INC(L2:L24,3)</f>
        <v>30</v>
      </c>
      <c r="P26" s="25" cm="1">
        <f t="array" ref="P26">_xlfn.QUARTILE.INC(IF((H2:H110="Normal")*(I2:I110="Normal"), D2:D110),3)</f>
        <v>20</v>
      </c>
      <c r="Q26" s="25" cm="1">
        <f t="array" ref="Q26">_xlfn.QUARTILE.INC(IF((H2:H110="Normal")*(I2:I110="Normal"), E2:E110),3)</f>
        <v>0</v>
      </c>
      <c r="R26" s="25" cm="1">
        <f t="array" ref="R26">_xlfn.QUARTILE.INC(IF((H2:H110="Normal")*(I2:I110="Normal"), F2:F110),3)</f>
        <v>3</v>
      </c>
      <c r="S26" s="25" cm="1">
        <f t="array" ref="S26">_xlfn.QUARTILE.INC(IF((H2:H110="Normal")*(I2:I110="Normal"), G2:G110),3)</f>
        <v>21.957999999999998</v>
      </c>
    </row>
    <row r="27" spans="1:19" ht="30.75" thickBot="1" x14ac:dyDescent="0.3">
      <c r="A27" s="26">
        <v>45436.428888888891</v>
      </c>
      <c r="B27" s="27">
        <v>28</v>
      </c>
      <c r="C27" s="4" t="s">
        <v>80</v>
      </c>
      <c r="D27" s="27">
        <v>20</v>
      </c>
      <c r="E27" s="27">
        <v>0</v>
      </c>
      <c r="F27" s="27">
        <v>0</v>
      </c>
      <c r="G27" s="27">
        <v>18.395</v>
      </c>
      <c r="H27" t="str">
        <f t="shared" si="0"/>
        <v>Normal</v>
      </c>
      <c r="I27" t="str">
        <f t="shared" si="1"/>
        <v>Normal</v>
      </c>
      <c r="N27" s="23" t="s">
        <v>42</v>
      </c>
      <c r="O27" s="25">
        <f>_xlfn.QUARTILE.INC(L2:L24,4)</f>
        <v>42</v>
      </c>
      <c r="P27" s="25" cm="1">
        <f t="array" ref="P27">_xlfn.QUARTILE.INC(IF((H2:H110="Normal")*(I2:I110="Normal"), D2:D110),4)</f>
        <v>20</v>
      </c>
      <c r="Q27" s="25" cm="1">
        <f t="array" ref="Q27">_xlfn.QUARTILE.INC(IF((H2:H110="Normal")*(I2:I110="Normal"), E2:E110),4)</f>
        <v>0</v>
      </c>
      <c r="R27" s="25" cm="1">
        <f t="array" ref="R27">_xlfn.QUARTILE.INC(IF((H2:H110="Normal")*(I2:I110="Normal"), F2:F110),4)</f>
        <v>8</v>
      </c>
      <c r="S27" s="25" cm="1">
        <f t="array" ref="S27">_xlfn.QUARTILE.INC(IF((H2:H110="Normal")*(I2:I110="Normal"), G2:G110),4)</f>
        <v>29.446999999999999</v>
      </c>
    </row>
    <row r="28" spans="1:19" ht="30.75" thickBot="1" x14ac:dyDescent="0.3">
      <c r="A28" s="26">
        <v>45436.429097222222</v>
      </c>
      <c r="B28" s="27">
        <v>30</v>
      </c>
      <c r="C28" s="4" t="s">
        <v>79</v>
      </c>
      <c r="D28" s="27">
        <v>20</v>
      </c>
      <c r="E28" s="27">
        <v>0</v>
      </c>
      <c r="F28" s="27">
        <v>7</v>
      </c>
      <c r="G28" s="27">
        <v>24.035</v>
      </c>
      <c r="H28" t="str">
        <f t="shared" si="0"/>
        <v>Normal</v>
      </c>
      <c r="I28" t="str">
        <f t="shared" si="1"/>
        <v>Normal</v>
      </c>
    </row>
    <row r="29" spans="1:19" ht="30.75" thickBot="1" x14ac:dyDescent="0.3">
      <c r="A29" s="26">
        <v>45436.429236111115</v>
      </c>
      <c r="B29" s="27">
        <v>30</v>
      </c>
      <c r="C29" s="4" t="s">
        <v>81</v>
      </c>
      <c r="D29" s="27">
        <v>20</v>
      </c>
      <c r="E29" s="27">
        <v>0</v>
      </c>
      <c r="F29" s="27">
        <v>3</v>
      </c>
      <c r="G29" s="27">
        <v>18.968</v>
      </c>
      <c r="H29" t="str">
        <f t="shared" si="0"/>
        <v>Normal</v>
      </c>
      <c r="I29" t="str">
        <f t="shared" si="1"/>
        <v>Normal</v>
      </c>
    </row>
    <row r="30" spans="1:19" ht="30.75" thickBot="1" x14ac:dyDescent="0.3">
      <c r="A30" s="26">
        <v>45436.429409722223</v>
      </c>
      <c r="B30" s="27">
        <v>30</v>
      </c>
      <c r="C30" s="4" t="s">
        <v>79</v>
      </c>
      <c r="D30" s="27">
        <v>20</v>
      </c>
      <c r="E30" s="27">
        <v>0</v>
      </c>
      <c r="F30" s="27">
        <v>4</v>
      </c>
      <c r="G30" s="27">
        <v>26.077999999999999</v>
      </c>
      <c r="H30" t="str">
        <f t="shared" si="0"/>
        <v>Normal</v>
      </c>
      <c r="I30" t="str">
        <f t="shared" si="1"/>
        <v>Normal</v>
      </c>
    </row>
    <row r="31" spans="1:19" ht="30.75" thickBot="1" x14ac:dyDescent="0.3">
      <c r="A31" s="26">
        <v>45436.429583333331</v>
      </c>
      <c r="B31" s="27">
        <v>30</v>
      </c>
      <c r="C31" s="4" t="s">
        <v>81</v>
      </c>
      <c r="D31" s="27">
        <v>20</v>
      </c>
      <c r="E31" s="27">
        <v>0</v>
      </c>
      <c r="F31" s="27">
        <v>0</v>
      </c>
      <c r="G31" s="27">
        <v>19.515000000000001</v>
      </c>
      <c r="H31" t="str">
        <f t="shared" si="0"/>
        <v>Normal</v>
      </c>
      <c r="I31" t="str">
        <f t="shared" si="1"/>
        <v>Normal</v>
      </c>
    </row>
    <row r="32" spans="1:19" ht="30.75" thickBot="1" x14ac:dyDescent="0.3">
      <c r="A32" s="26">
        <v>45436.430034722223</v>
      </c>
      <c r="B32" s="27">
        <v>30</v>
      </c>
      <c r="C32" s="4" t="s">
        <v>79</v>
      </c>
      <c r="D32" s="27">
        <v>20</v>
      </c>
      <c r="E32" s="27">
        <v>0</v>
      </c>
      <c r="F32" s="27">
        <v>4</v>
      </c>
      <c r="G32" s="27">
        <v>20.361999999999998</v>
      </c>
      <c r="H32" t="str">
        <f t="shared" si="0"/>
        <v>Normal</v>
      </c>
      <c r="I32" t="str">
        <f t="shared" si="1"/>
        <v>Normal</v>
      </c>
    </row>
    <row r="33" spans="1:9" ht="30.75" thickBot="1" x14ac:dyDescent="0.3">
      <c r="A33" s="26">
        <v>45436.430196759262</v>
      </c>
      <c r="B33" s="27">
        <v>19</v>
      </c>
      <c r="C33" s="4" t="s">
        <v>82</v>
      </c>
      <c r="D33" s="27">
        <v>20</v>
      </c>
      <c r="E33" s="27">
        <v>0</v>
      </c>
      <c r="F33" s="27">
        <v>0</v>
      </c>
      <c r="G33" s="27">
        <v>19.722999999999999</v>
      </c>
      <c r="H33" t="str">
        <f t="shared" si="0"/>
        <v>Normal</v>
      </c>
      <c r="I33" t="str">
        <f t="shared" si="1"/>
        <v>Normal</v>
      </c>
    </row>
    <row r="34" spans="1:9" ht="30.75" thickBot="1" x14ac:dyDescent="0.3">
      <c r="A34" s="26">
        <v>45436.430381944447</v>
      </c>
      <c r="B34" s="27">
        <v>30</v>
      </c>
      <c r="C34" s="4" t="s">
        <v>79</v>
      </c>
      <c r="D34" s="27">
        <v>20</v>
      </c>
      <c r="E34" s="27">
        <v>0</v>
      </c>
      <c r="F34" s="27">
        <v>0</v>
      </c>
      <c r="G34" s="27">
        <v>18.79</v>
      </c>
      <c r="H34" t="str">
        <f t="shared" si="0"/>
        <v>Normal</v>
      </c>
      <c r="I34" t="str">
        <f t="shared" si="1"/>
        <v>Normal</v>
      </c>
    </row>
    <row r="35" spans="1:9" ht="30.75" thickBot="1" x14ac:dyDescent="0.3">
      <c r="A35" s="26">
        <v>45436.43041666667</v>
      </c>
      <c r="B35" s="27">
        <v>35</v>
      </c>
      <c r="C35" s="4" t="s">
        <v>83</v>
      </c>
      <c r="D35" s="27">
        <v>20</v>
      </c>
      <c r="E35" s="27">
        <v>0</v>
      </c>
      <c r="F35" s="27">
        <v>7</v>
      </c>
      <c r="G35" s="27">
        <v>20.818000000000001</v>
      </c>
      <c r="H35" t="str">
        <f t="shared" si="0"/>
        <v>Normal</v>
      </c>
      <c r="I35" t="str">
        <f t="shared" si="1"/>
        <v>Normal</v>
      </c>
    </row>
    <row r="36" spans="1:9" ht="30.75" thickBot="1" x14ac:dyDescent="0.3">
      <c r="A36" s="26">
        <v>45436.430497685185</v>
      </c>
      <c r="B36" s="27">
        <v>30</v>
      </c>
      <c r="C36" s="4" t="s">
        <v>84</v>
      </c>
      <c r="D36" s="27">
        <v>20</v>
      </c>
      <c r="E36" s="27">
        <v>0</v>
      </c>
      <c r="F36" s="27">
        <v>4</v>
      </c>
      <c r="G36" s="27">
        <v>18.263999999999999</v>
      </c>
      <c r="H36" t="str">
        <f t="shared" si="0"/>
        <v>Normal</v>
      </c>
      <c r="I36" t="str">
        <f t="shared" si="1"/>
        <v>Normal</v>
      </c>
    </row>
    <row r="37" spans="1:9" ht="30.75" thickBot="1" x14ac:dyDescent="0.3">
      <c r="A37" s="26">
        <v>45436.430706018517</v>
      </c>
      <c r="B37" s="27">
        <v>35</v>
      </c>
      <c r="C37" s="4" t="s">
        <v>83</v>
      </c>
      <c r="D37" s="27">
        <v>20</v>
      </c>
      <c r="E37" s="27">
        <v>0</v>
      </c>
      <c r="F37" s="27">
        <v>5</v>
      </c>
      <c r="G37" s="27">
        <v>19.638000000000002</v>
      </c>
      <c r="H37" t="str">
        <f t="shared" si="0"/>
        <v>Normal</v>
      </c>
      <c r="I37" t="str">
        <f t="shared" si="1"/>
        <v>Normal</v>
      </c>
    </row>
    <row r="38" spans="1:9" ht="30.75" thickBot="1" x14ac:dyDescent="0.3">
      <c r="A38" s="26">
        <v>45436.430879629632</v>
      </c>
      <c r="B38" s="27">
        <v>30</v>
      </c>
      <c r="C38" s="4" t="s">
        <v>79</v>
      </c>
      <c r="D38" s="27">
        <v>20</v>
      </c>
      <c r="E38" s="27">
        <v>0</v>
      </c>
      <c r="F38" s="27">
        <v>0</v>
      </c>
      <c r="G38" s="27">
        <v>17.806000000000001</v>
      </c>
      <c r="H38" t="str">
        <f t="shared" si="0"/>
        <v>Normal</v>
      </c>
      <c r="I38" t="str">
        <f t="shared" si="1"/>
        <v>Normal</v>
      </c>
    </row>
    <row r="39" spans="1:9" ht="30.75" thickBot="1" x14ac:dyDescent="0.3">
      <c r="A39" s="26">
        <v>45436.430995370371</v>
      </c>
      <c r="B39" s="27">
        <v>35</v>
      </c>
      <c r="C39" s="4" t="s">
        <v>83</v>
      </c>
      <c r="D39" s="27">
        <v>20</v>
      </c>
      <c r="E39" s="27">
        <v>0</v>
      </c>
      <c r="F39" s="27">
        <v>4</v>
      </c>
      <c r="G39" s="27">
        <v>20.646999999999998</v>
      </c>
      <c r="H39" t="str">
        <f t="shared" si="0"/>
        <v>Normal</v>
      </c>
      <c r="I39" t="str">
        <f t="shared" ref="I39:I52" si="3">IF(OR(D39&lt;$R$7, D39&gt;$R$8), "Outlier", "Normal")</f>
        <v>Normal</v>
      </c>
    </row>
    <row r="40" spans="1:9" ht="30.75" thickBot="1" x14ac:dyDescent="0.3">
      <c r="A40" s="26">
        <v>45436.431180555555</v>
      </c>
      <c r="B40" s="27">
        <v>29</v>
      </c>
      <c r="C40" s="4" t="s">
        <v>85</v>
      </c>
      <c r="D40" s="27">
        <v>20</v>
      </c>
      <c r="E40" s="27">
        <v>0</v>
      </c>
      <c r="F40" s="27">
        <v>0</v>
      </c>
      <c r="G40" s="27">
        <v>20.347000000000001</v>
      </c>
      <c r="H40" t="str">
        <f t="shared" si="0"/>
        <v>Normal</v>
      </c>
      <c r="I40" t="str">
        <f t="shared" si="3"/>
        <v>Normal</v>
      </c>
    </row>
    <row r="41" spans="1:9" ht="30.75" thickBot="1" x14ac:dyDescent="0.3">
      <c r="A41" s="26">
        <v>45436.43141203704</v>
      </c>
      <c r="B41" s="27">
        <v>30</v>
      </c>
      <c r="C41" s="4" t="s">
        <v>86</v>
      </c>
      <c r="D41" s="27">
        <v>20</v>
      </c>
      <c r="E41" s="27">
        <v>0</v>
      </c>
      <c r="F41" s="27">
        <v>1</v>
      </c>
      <c r="G41" s="27">
        <v>19.917999999999999</v>
      </c>
      <c r="H41" t="str">
        <f t="shared" si="0"/>
        <v>Normal</v>
      </c>
      <c r="I41" t="str">
        <f t="shared" si="3"/>
        <v>Normal</v>
      </c>
    </row>
    <row r="42" spans="1:9" ht="30.75" thickBot="1" x14ac:dyDescent="0.3">
      <c r="A42" s="26">
        <v>45436.431747685187</v>
      </c>
      <c r="B42" s="27">
        <v>30</v>
      </c>
      <c r="C42" s="4" t="s">
        <v>87</v>
      </c>
      <c r="D42" s="27">
        <v>20</v>
      </c>
      <c r="E42" s="27">
        <v>0</v>
      </c>
      <c r="F42" s="27">
        <v>2</v>
      </c>
      <c r="G42" s="27">
        <v>19.041</v>
      </c>
      <c r="H42" t="str">
        <f t="shared" si="0"/>
        <v>Normal</v>
      </c>
      <c r="I42" t="str">
        <f t="shared" si="3"/>
        <v>Normal</v>
      </c>
    </row>
    <row r="43" spans="1:9" ht="30.75" thickBot="1" x14ac:dyDescent="0.3">
      <c r="A43" s="26">
        <v>45436.432314814818</v>
      </c>
      <c r="B43" s="27">
        <v>30</v>
      </c>
      <c r="C43" s="4" t="s">
        <v>88</v>
      </c>
      <c r="D43" s="27">
        <v>20</v>
      </c>
      <c r="E43" s="27">
        <v>0</v>
      </c>
      <c r="F43" s="27">
        <v>1</v>
      </c>
      <c r="G43" s="27">
        <v>21.471</v>
      </c>
      <c r="H43" t="str">
        <f t="shared" si="0"/>
        <v>Normal</v>
      </c>
      <c r="I43" t="str">
        <f t="shared" si="3"/>
        <v>Normal</v>
      </c>
    </row>
    <row r="44" spans="1:9" ht="30.75" thickBot="1" x14ac:dyDescent="0.3">
      <c r="A44" s="28">
        <v>45436.432847222219</v>
      </c>
      <c r="B44" s="29">
        <v>30</v>
      </c>
      <c r="C44" s="30" t="s">
        <v>88</v>
      </c>
      <c r="D44" s="29">
        <v>3</v>
      </c>
      <c r="E44" s="29">
        <v>17</v>
      </c>
      <c r="F44" s="29">
        <v>1</v>
      </c>
      <c r="G44" s="29">
        <v>7.9509999999999996</v>
      </c>
      <c r="H44" s="31" t="str">
        <f t="shared" si="0"/>
        <v>Outlier</v>
      </c>
      <c r="I44" s="31" t="str">
        <f t="shared" si="3"/>
        <v>Outlier</v>
      </c>
    </row>
    <row r="45" spans="1:9" ht="30.75" thickBot="1" x14ac:dyDescent="0.3">
      <c r="A45" s="28">
        <v>45436.433055555557</v>
      </c>
      <c r="B45" s="29">
        <v>28</v>
      </c>
      <c r="C45" s="30" t="s">
        <v>89</v>
      </c>
      <c r="D45" s="29">
        <v>0</v>
      </c>
      <c r="E45" s="29">
        <v>20</v>
      </c>
      <c r="F45" s="29">
        <v>0</v>
      </c>
      <c r="G45" s="29">
        <v>5.8689999999999998</v>
      </c>
      <c r="H45" s="31" t="str">
        <f t="shared" si="0"/>
        <v>Outlier</v>
      </c>
      <c r="I45" s="31" t="str">
        <f t="shared" si="3"/>
        <v>Outlier</v>
      </c>
    </row>
    <row r="46" spans="1:9" ht="30.75" thickBot="1" x14ac:dyDescent="0.3">
      <c r="A46" s="26">
        <v>45436.433333333334</v>
      </c>
      <c r="B46" s="27">
        <v>30</v>
      </c>
      <c r="C46" s="4" t="s">
        <v>90</v>
      </c>
      <c r="D46" s="27">
        <v>20</v>
      </c>
      <c r="E46" s="27">
        <v>0</v>
      </c>
      <c r="F46" s="27">
        <v>0</v>
      </c>
      <c r="G46" s="27">
        <v>18.311</v>
      </c>
      <c r="H46" t="str">
        <f t="shared" si="0"/>
        <v>Normal</v>
      </c>
      <c r="I46" t="str">
        <f t="shared" si="3"/>
        <v>Normal</v>
      </c>
    </row>
    <row r="47" spans="1:9" ht="30.75" thickBot="1" x14ac:dyDescent="0.3">
      <c r="A47" s="26">
        <v>45436.43414351852</v>
      </c>
      <c r="B47" s="27">
        <v>30</v>
      </c>
      <c r="C47" s="4" t="s">
        <v>91</v>
      </c>
      <c r="D47" s="27">
        <v>20</v>
      </c>
      <c r="E47" s="27">
        <v>0</v>
      </c>
      <c r="F47" s="27">
        <v>2</v>
      </c>
      <c r="G47" s="27">
        <v>17.942</v>
      </c>
      <c r="H47" t="str">
        <f t="shared" si="0"/>
        <v>Normal</v>
      </c>
      <c r="I47" t="str">
        <f t="shared" si="3"/>
        <v>Normal</v>
      </c>
    </row>
    <row r="48" spans="1:9" ht="30.75" thickBot="1" x14ac:dyDescent="0.3">
      <c r="A48" s="26">
        <v>45436.434953703705</v>
      </c>
      <c r="B48" s="27">
        <v>99</v>
      </c>
      <c r="C48" s="4" t="s">
        <v>92</v>
      </c>
      <c r="D48" s="27">
        <v>20</v>
      </c>
      <c r="E48" s="27">
        <v>0</v>
      </c>
      <c r="F48" s="27">
        <v>3</v>
      </c>
      <c r="G48" s="27">
        <v>18.77</v>
      </c>
      <c r="H48" t="str">
        <f t="shared" si="0"/>
        <v>Normal</v>
      </c>
      <c r="I48" t="str">
        <f t="shared" si="3"/>
        <v>Normal</v>
      </c>
    </row>
    <row r="49" spans="1:9" ht="30.75" thickBot="1" x14ac:dyDescent="0.3">
      <c r="A49" s="26">
        <v>45436.435300925928</v>
      </c>
      <c r="B49" s="27">
        <v>99</v>
      </c>
      <c r="C49" s="4" t="s">
        <v>92</v>
      </c>
      <c r="D49" s="27">
        <v>20</v>
      </c>
      <c r="E49" s="27">
        <v>0</v>
      </c>
      <c r="F49" s="27">
        <v>2</v>
      </c>
      <c r="G49" s="27">
        <v>16.390999999999998</v>
      </c>
      <c r="H49" t="str">
        <f t="shared" si="0"/>
        <v>Normal</v>
      </c>
      <c r="I49" t="str">
        <f t="shared" si="3"/>
        <v>Normal</v>
      </c>
    </row>
    <row r="50" spans="1:9" ht="30.75" thickBot="1" x14ac:dyDescent="0.3">
      <c r="A50" s="26">
        <v>45436.435798611114</v>
      </c>
      <c r="B50" s="27">
        <v>30</v>
      </c>
      <c r="C50" s="4" t="s">
        <v>93</v>
      </c>
      <c r="D50" s="27">
        <v>20</v>
      </c>
      <c r="E50" s="27">
        <v>0</v>
      </c>
      <c r="F50" s="27">
        <v>3</v>
      </c>
      <c r="G50" s="27">
        <v>17.952999999999999</v>
      </c>
      <c r="H50" t="str">
        <f t="shared" si="0"/>
        <v>Normal</v>
      </c>
      <c r="I50" t="str">
        <f t="shared" si="3"/>
        <v>Normal</v>
      </c>
    </row>
    <row r="51" spans="1:9" ht="30.75" thickBot="1" x14ac:dyDescent="0.3">
      <c r="A51" s="26">
        <v>45436.435949074075</v>
      </c>
      <c r="B51" s="27">
        <v>150</v>
      </c>
      <c r="C51" s="4" t="s">
        <v>94</v>
      </c>
      <c r="D51" s="27">
        <v>20</v>
      </c>
      <c r="E51" s="27">
        <v>0</v>
      </c>
      <c r="F51" s="27">
        <v>8</v>
      </c>
      <c r="G51" s="27">
        <v>23.640999999999998</v>
      </c>
      <c r="H51" t="str">
        <f t="shared" si="0"/>
        <v>Normal</v>
      </c>
      <c r="I51" t="str">
        <f t="shared" si="3"/>
        <v>Normal</v>
      </c>
    </row>
    <row r="52" spans="1:9" ht="30.75" thickBot="1" x14ac:dyDescent="0.3">
      <c r="A52" s="26">
        <v>45436.436215277776</v>
      </c>
      <c r="B52" s="27">
        <v>30</v>
      </c>
      <c r="C52" s="4" t="s">
        <v>95</v>
      </c>
      <c r="D52" s="27">
        <v>20</v>
      </c>
      <c r="E52" s="27">
        <v>0</v>
      </c>
      <c r="F52" s="27">
        <v>2</v>
      </c>
      <c r="G52" s="27">
        <v>18.946999999999999</v>
      </c>
      <c r="H52" t="str">
        <f t="shared" si="0"/>
        <v>Normal</v>
      </c>
      <c r="I52" t="str">
        <f t="shared" si="3"/>
        <v>Normal</v>
      </c>
    </row>
    <row r="53" spans="1:9" ht="30.75" thickBot="1" x14ac:dyDescent="0.3">
      <c r="A53" s="26">
        <v>45436.43650462963</v>
      </c>
      <c r="B53" s="27">
        <v>30</v>
      </c>
      <c r="C53" s="4" t="s">
        <v>96</v>
      </c>
      <c r="D53" s="27">
        <v>20</v>
      </c>
      <c r="E53" s="27">
        <v>0</v>
      </c>
      <c r="F53" s="27">
        <v>3</v>
      </c>
      <c r="G53" s="27">
        <v>18.283999999999999</v>
      </c>
      <c r="H53" t="str">
        <f t="shared" si="0"/>
        <v>Normal</v>
      </c>
      <c r="I53" t="str">
        <f t="shared" ref="I53:I110" si="4">IF(OR(D53&lt;$R$7, D53&gt;$R$8), "Outlier", "Normal")</f>
        <v>Normal</v>
      </c>
    </row>
    <row r="54" spans="1:9" ht="30.75" thickBot="1" x14ac:dyDescent="0.3">
      <c r="A54" s="26">
        <v>45436.438101851854</v>
      </c>
      <c r="B54" s="27">
        <v>30</v>
      </c>
      <c r="C54" s="4" t="s">
        <v>97</v>
      </c>
      <c r="D54" s="27">
        <v>20</v>
      </c>
      <c r="E54" s="27">
        <v>0</v>
      </c>
      <c r="F54" s="27">
        <v>1</v>
      </c>
      <c r="G54" s="27">
        <v>16.696999999999999</v>
      </c>
      <c r="H54" t="str">
        <f t="shared" si="0"/>
        <v>Normal</v>
      </c>
      <c r="I54" t="str">
        <f t="shared" si="4"/>
        <v>Normal</v>
      </c>
    </row>
    <row r="55" spans="1:9" ht="30.75" thickBot="1" x14ac:dyDescent="0.3">
      <c r="A55" s="26">
        <v>45436.438645833332</v>
      </c>
      <c r="B55" s="27">
        <v>30</v>
      </c>
      <c r="C55" s="4" t="s">
        <v>98</v>
      </c>
      <c r="D55" s="27">
        <v>20</v>
      </c>
      <c r="E55" s="27">
        <v>0</v>
      </c>
      <c r="F55" s="27">
        <v>3</v>
      </c>
      <c r="G55" s="27">
        <v>18.988</v>
      </c>
      <c r="H55" t="str">
        <f t="shared" si="0"/>
        <v>Normal</v>
      </c>
      <c r="I55" t="str">
        <f t="shared" si="4"/>
        <v>Normal</v>
      </c>
    </row>
    <row r="56" spans="1:9" ht="30.75" thickBot="1" x14ac:dyDescent="0.3">
      <c r="A56" s="26">
        <v>45436.439270833333</v>
      </c>
      <c r="B56" s="27">
        <v>30</v>
      </c>
      <c r="C56" s="4" t="s">
        <v>99</v>
      </c>
      <c r="D56" s="27">
        <v>20</v>
      </c>
      <c r="E56" s="27">
        <v>0</v>
      </c>
      <c r="F56" s="27">
        <v>5</v>
      </c>
      <c r="G56" s="27">
        <v>19.937000000000001</v>
      </c>
      <c r="H56" t="str">
        <f t="shared" si="0"/>
        <v>Normal</v>
      </c>
      <c r="I56" t="str">
        <f t="shared" si="4"/>
        <v>Normal</v>
      </c>
    </row>
    <row r="57" spans="1:9" ht="30.75" thickBot="1" x14ac:dyDescent="0.3">
      <c r="A57" s="28">
        <v>45436.45144675926</v>
      </c>
      <c r="B57" s="29">
        <v>27</v>
      </c>
      <c r="C57" s="30" t="s">
        <v>100</v>
      </c>
      <c r="D57" s="29">
        <v>20</v>
      </c>
      <c r="E57" s="29">
        <v>0</v>
      </c>
      <c r="F57" s="29">
        <v>3</v>
      </c>
      <c r="G57" s="29">
        <v>40.331000000000003</v>
      </c>
      <c r="H57" s="31" t="str">
        <f t="shared" si="0"/>
        <v>Outlier</v>
      </c>
      <c r="I57" s="31" t="str">
        <f t="shared" si="4"/>
        <v>Normal</v>
      </c>
    </row>
    <row r="58" spans="1:9" ht="30.75" thickBot="1" x14ac:dyDescent="0.3">
      <c r="A58" s="26">
        <v>45436.452013888891</v>
      </c>
      <c r="B58" s="27">
        <v>27</v>
      </c>
      <c r="C58" s="4" t="s">
        <v>100</v>
      </c>
      <c r="D58" s="27">
        <v>20</v>
      </c>
      <c r="E58" s="27">
        <v>0</v>
      </c>
      <c r="F58" s="27">
        <v>2</v>
      </c>
      <c r="G58" s="27">
        <v>25.763000000000002</v>
      </c>
      <c r="H58" t="str">
        <f t="shared" si="0"/>
        <v>Normal</v>
      </c>
      <c r="I58" t="str">
        <f t="shared" si="4"/>
        <v>Normal</v>
      </c>
    </row>
    <row r="59" spans="1:9" ht="30.75" thickBot="1" x14ac:dyDescent="0.3">
      <c r="A59" s="28">
        <v>45436.459085648145</v>
      </c>
      <c r="B59" s="29">
        <v>28</v>
      </c>
      <c r="C59" s="30" t="s">
        <v>101</v>
      </c>
      <c r="D59" s="29">
        <v>20</v>
      </c>
      <c r="E59" s="29">
        <v>0</v>
      </c>
      <c r="F59" s="29">
        <v>1</v>
      </c>
      <c r="G59" s="29">
        <v>39.609000000000002</v>
      </c>
      <c r="H59" s="31" t="str">
        <f t="shared" si="0"/>
        <v>Outlier</v>
      </c>
      <c r="I59" s="31" t="str">
        <f>IF(OR(D59&lt;$R$7, D59&gt;$R$8), "Outlier", "Normal")</f>
        <v>Normal</v>
      </c>
    </row>
    <row r="60" spans="1:9" ht="30.75" thickBot="1" x14ac:dyDescent="0.3">
      <c r="A60" s="26">
        <v>45436.459629629629</v>
      </c>
      <c r="B60" s="27">
        <v>28</v>
      </c>
      <c r="C60" s="4" t="s">
        <v>101</v>
      </c>
      <c r="D60" s="27">
        <v>20</v>
      </c>
      <c r="E60" s="27">
        <v>0</v>
      </c>
      <c r="F60" s="27">
        <v>0</v>
      </c>
      <c r="G60" s="27">
        <v>22.898</v>
      </c>
      <c r="H60" t="str">
        <f t="shared" si="0"/>
        <v>Normal</v>
      </c>
      <c r="I60" t="str">
        <f t="shared" si="4"/>
        <v>Normal</v>
      </c>
    </row>
    <row r="61" spans="1:9" ht="30.75" thickBot="1" x14ac:dyDescent="0.3">
      <c r="A61" s="26">
        <v>45436.460173611114</v>
      </c>
      <c r="B61" s="27">
        <v>28</v>
      </c>
      <c r="C61" s="4" t="s">
        <v>101</v>
      </c>
      <c r="D61" s="27">
        <v>20</v>
      </c>
      <c r="E61" s="27">
        <v>0</v>
      </c>
      <c r="F61" s="27">
        <v>0</v>
      </c>
      <c r="G61" s="27">
        <v>25.068000000000001</v>
      </c>
      <c r="H61" t="str">
        <f t="shared" si="0"/>
        <v>Normal</v>
      </c>
      <c r="I61" t="str">
        <f t="shared" si="4"/>
        <v>Normal</v>
      </c>
    </row>
    <row r="62" spans="1:9" ht="30.75" thickBot="1" x14ac:dyDescent="0.3">
      <c r="A62" s="28">
        <v>45436.462847222225</v>
      </c>
      <c r="B62" s="29">
        <v>26</v>
      </c>
      <c r="C62" s="30" t="s">
        <v>102</v>
      </c>
      <c r="D62" s="29">
        <v>20</v>
      </c>
      <c r="E62" s="29">
        <v>0</v>
      </c>
      <c r="F62" s="29">
        <v>0</v>
      </c>
      <c r="G62" s="29">
        <v>40.033999999999999</v>
      </c>
      <c r="H62" s="31" t="str">
        <f t="shared" si="0"/>
        <v>Outlier</v>
      </c>
      <c r="I62" s="31" t="str">
        <f t="shared" si="4"/>
        <v>Normal</v>
      </c>
    </row>
    <row r="63" spans="1:9" ht="30.75" thickBot="1" x14ac:dyDescent="0.3">
      <c r="A63" s="26">
        <v>45436.581620370373</v>
      </c>
      <c r="B63" s="27">
        <v>20</v>
      </c>
      <c r="C63" s="4" t="s">
        <v>103</v>
      </c>
      <c r="D63" s="27">
        <v>20</v>
      </c>
      <c r="E63" s="27">
        <v>0</v>
      </c>
      <c r="F63" s="27">
        <v>4</v>
      </c>
      <c r="G63" s="27">
        <v>18.692</v>
      </c>
      <c r="H63" t="str">
        <f t="shared" si="0"/>
        <v>Normal</v>
      </c>
      <c r="I63" t="str">
        <f t="shared" si="4"/>
        <v>Normal</v>
      </c>
    </row>
    <row r="64" spans="1:9" ht="30.75" thickBot="1" x14ac:dyDescent="0.3">
      <c r="A64" s="26">
        <v>45436.581875000003</v>
      </c>
      <c r="B64" s="27">
        <v>20</v>
      </c>
      <c r="C64" s="4" t="s">
        <v>103</v>
      </c>
      <c r="D64" s="27">
        <v>20</v>
      </c>
      <c r="E64" s="27">
        <v>0</v>
      </c>
      <c r="F64" s="27">
        <v>2</v>
      </c>
      <c r="G64" s="27">
        <v>16.989000000000001</v>
      </c>
      <c r="H64" t="str">
        <f t="shared" si="0"/>
        <v>Normal</v>
      </c>
      <c r="I64" t="str">
        <f t="shared" si="4"/>
        <v>Normal</v>
      </c>
    </row>
    <row r="65" spans="1:9" ht="30.75" thickBot="1" x14ac:dyDescent="0.3">
      <c r="A65" s="26">
        <v>45436.581956018519</v>
      </c>
      <c r="B65" s="27">
        <v>20</v>
      </c>
      <c r="C65" s="4" t="s">
        <v>104</v>
      </c>
      <c r="D65" s="27">
        <v>20</v>
      </c>
      <c r="E65" s="27">
        <v>0</v>
      </c>
      <c r="F65" s="27">
        <v>1</v>
      </c>
      <c r="G65" s="27">
        <v>18.876999999999999</v>
      </c>
      <c r="H65" t="str">
        <f t="shared" si="0"/>
        <v>Normal</v>
      </c>
      <c r="I65" t="str">
        <f t="shared" si="4"/>
        <v>Normal</v>
      </c>
    </row>
    <row r="66" spans="1:9" ht="30.75" thickBot="1" x14ac:dyDescent="0.3">
      <c r="A66" s="26">
        <v>45436.582118055558</v>
      </c>
      <c r="B66" s="27">
        <v>20</v>
      </c>
      <c r="C66" s="4" t="s">
        <v>103</v>
      </c>
      <c r="D66" s="27">
        <v>20</v>
      </c>
      <c r="E66" s="27">
        <v>0</v>
      </c>
      <c r="F66" s="27">
        <v>3</v>
      </c>
      <c r="G66" s="27">
        <v>16.396999999999998</v>
      </c>
      <c r="H66" t="str">
        <f t="shared" ref="H66:H110" si="5">IF(OR(G66&lt;$O$7, G66&gt;$O$8), "Outlier", "Normal")</f>
        <v>Normal</v>
      </c>
      <c r="I66" t="str">
        <f t="shared" si="4"/>
        <v>Normal</v>
      </c>
    </row>
    <row r="67" spans="1:9" ht="30.75" thickBot="1" x14ac:dyDescent="0.3">
      <c r="A67" s="26">
        <v>45436.582199074073</v>
      </c>
      <c r="B67" s="27">
        <v>21</v>
      </c>
      <c r="C67" s="4" t="s">
        <v>105</v>
      </c>
      <c r="D67" s="27">
        <v>20</v>
      </c>
      <c r="E67" s="27">
        <v>0</v>
      </c>
      <c r="F67" s="27">
        <v>1</v>
      </c>
      <c r="G67" s="27">
        <v>16.608000000000001</v>
      </c>
      <c r="H67" t="str">
        <f t="shared" si="5"/>
        <v>Normal</v>
      </c>
      <c r="I67" t="str">
        <f t="shared" si="4"/>
        <v>Normal</v>
      </c>
    </row>
    <row r="68" spans="1:9" ht="30.75" thickBot="1" x14ac:dyDescent="0.3">
      <c r="A68" s="26">
        <v>45436.582407407404</v>
      </c>
      <c r="B68" s="27">
        <v>20</v>
      </c>
      <c r="C68" s="4" t="s">
        <v>103</v>
      </c>
      <c r="D68" s="27">
        <v>20</v>
      </c>
      <c r="E68" s="27">
        <v>0</v>
      </c>
      <c r="F68" s="27">
        <v>1</v>
      </c>
      <c r="G68" s="27">
        <v>15.773999999999999</v>
      </c>
      <c r="H68" t="str">
        <f t="shared" si="5"/>
        <v>Normal</v>
      </c>
      <c r="I68" t="str">
        <f t="shared" si="4"/>
        <v>Normal</v>
      </c>
    </row>
    <row r="69" spans="1:9" ht="30.75" thickBot="1" x14ac:dyDescent="0.3">
      <c r="A69" s="26">
        <v>45436.582453703704</v>
      </c>
      <c r="B69" s="27">
        <v>20</v>
      </c>
      <c r="C69" s="4" t="s">
        <v>106</v>
      </c>
      <c r="D69" s="27">
        <v>20</v>
      </c>
      <c r="E69" s="27">
        <v>0</v>
      </c>
      <c r="F69" s="27">
        <v>3</v>
      </c>
      <c r="G69" s="27">
        <v>19.766999999999999</v>
      </c>
      <c r="H69" t="str">
        <f t="shared" si="5"/>
        <v>Normal</v>
      </c>
      <c r="I69" t="str">
        <f t="shared" si="4"/>
        <v>Normal</v>
      </c>
    </row>
    <row r="70" spans="1:9" ht="30.75" thickBot="1" x14ac:dyDescent="0.3">
      <c r="A70" s="26">
        <v>45436.582499999997</v>
      </c>
      <c r="B70" s="27">
        <v>19</v>
      </c>
      <c r="C70" s="4" t="s">
        <v>107</v>
      </c>
      <c r="D70" s="27">
        <v>20</v>
      </c>
      <c r="E70" s="27">
        <v>0</v>
      </c>
      <c r="F70" s="27">
        <v>1</v>
      </c>
      <c r="G70" s="27">
        <v>21.795999999999999</v>
      </c>
      <c r="H70" t="str">
        <f t="shared" si="5"/>
        <v>Normal</v>
      </c>
      <c r="I70" t="str">
        <f t="shared" si="4"/>
        <v>Normal</v>
      </c>
    </row>
    <row r="71" spans="1:9" ht="30.75" thickBot="1" x14ac:dyDescent="0.3">
      <c r="A71" s="26">
        <v>45436.58284722222</v>
      </c>
      <c r="B71" s="27">
        <v>21</v>
      </c>
      <c r="C71" s="4" t="s">
        <v>105</v>
      </c>
      <c r="D71" s="27">
        <v>20</v>
      </c>
      <c r="E71" s="27">
        <v>0</v>
      </c>
      <c r="F71" s="27">
        <v>3</v>
      </c>
      <c r="G71" s="27">
        <v>16.715</v>
      </c>
      <c r="H71" t="str">
        <f t="shared" si="5"/>
        <v>Normal</v>
      </c>
      <c r="I71" t="str">
        <f t="shared" si="4"/>
        <v>Normal</v>
      </c>
    </row>
    <row r="72" spans="1:9" ht="30.75" thickBot="1" x14ac:dyDescent="0.3">
      <c r="A72" s="26">
        <v>45436.582951388889</v>
      </c>
      <c r="B72" s="27">
        <v>20</v>
      </c>
      <c r="C72" s="4" t="s">
        <v>106</v>
      </c>
      <c r="D72" s="27">
        <v>20</v>
      </c>
      <c r="E72" s="27">
        <v>0</v>
      </c>
      <c r="F72" s="27">
        <v>3</v>
      </c>
      <c r="G72" s="27">
        <v>22.338999999999999</v>
      </c>
      <c r="H72" t="str">
        <f t="shared" si="5"/>
        <v>Normal</v>
      </c>
      <c r="I72" t="str">
        <f t="shared" si="4"/>
        <v>Normal</v>
      </c>
    </row>
    <row r="73" spans="1:9" ht="15.75" thickBot="1" x14ac:dyDescent="0.3"/>
    <row r="74" spans="1:9" ht="30.75" thickBot="1" x14ac:dyDescent="0.3">
      <c r="A74" s="26">
        <v>45436.583564814813</v>
      </c>
      <c r="B74" s="27">
        <v>20</v>
      </c>
      <c r="C74" s="4" t="s">
        <v>106</v>
      </c>
      <c r="D74" s="27">
        <v>20</v>
      </c>
      <c r="E74" s="27">
        <v>0</v>
      </c>
      <c r="F74" s="27">
        <v>3</v>
      </c>
      <c r="G74" s="27">
        <v>20.495000000000001</v>
      </c>
      <c r="H74" t="str">
        <f t="shared" si="5"/>
        <v>Normal</v>
      </c>
      <c r="I74" t="str">
        <f t="shared" si="4"/>
        <v>Normal</v>
      </c>
    </row>
    <row r="75" spans="1:9" ht="30.75" thickBot="1" x14ac:dyDescent="0.3">
      <c r="A75" s="26">
        <v>45436.583865740744</v>
      </c>
      <c r="B75" s="27">
        <v>19</v>
      </c>
      <c r="C75" s="4" t="s">
        <v>109</v>
      </c>
      <c r="D75" s="27">
        <v>20</v>
      </c>
      <c r="E75" s="27">
        <v>0</v>
      </c>
      <c r="F75" s="27">
        <v>0</v>
      </c>
      <c r="G75" s="27">
        <v>23.239000000000001</v>
      </c>
      <c r="H75" t="str">
        <f t="shared" si="5"/>
        <v>Normal</v>
      </c>
      <c r="I75" t="str">
        <f t="shared" si="4"/>
        <v>Normal</v>
      </c>
    </row>
    <row r="76" spans="1:9" ht="30.75" thickBot="1" x14ac:dyDescent="0.3">
      <c r="A76" s="28">
        <v>45436.584421296298</v>
      </c>
      <c r="B76" s="29">
        <v>21</v>
      </c>
      <c r="C76" s="30" t="s">
        <v>110</v>
      </c>
      <c r="D76" s="29">
        <v>19</v>
      </c>
      <c r="E76" s="29">
        <v>1</v>
      </c>
      <c r="F76" s="29">
        <v>1</v>
      </c>
      <c r="G76" s="29">
        <v>17.196999999999999</v>
      </c>
      <c r="H76" s="31" t="str">
        <f t="shared" si="5"/>
        <v>Normal</v>
      </c>
      <c r="I76" s="31" t="str">
        <f t="shared" si="4"/>
        <v>Outlier</v>
      </c>
    </row>
    <row r="77" spans="1:9" ht="30.75" thickBot="1" x14ac:dyDescent="0.3">
      <c r="A77" s="26">
        <v>45436.584837962961</v>
      </c>
      <c r="B77" s="27">
        <v>20</v>
      </c>
      <c r="C77" s="4" t="s">
        <v>111</v>
      </c>
      <c r="D77" s="27">
        <v>20</v>
      </c>
      <c r="E77" s="27">
        <v>0</v>
      </c>
      <c r="F77" s="27">
        <v>2</v>
      </c>
      <c r="G77" s="27">
        <v>21.957999999999998</v>
      </c>
      <c r="H77" t="str">
        <f t="shared" si="5"/>
        <v>Normal</v>
      </c>
      <c r="I77" t="str">
        <f t="shared" si="4"/>
        <v>Normal</v>
      </c>
    </row>
    <row r="78" spans="1:9" ht="30.75" thickBot="1" x14ac:dyDescent="0.3">
      <c r="A78" s="26">
        <v>45436.587800925925</v>
      </c>
      <c r="B78" s="27">
        <v>37</v>
      </c>
      <c r="C78" s="4" t="s">
        <v>112</v>
      </c>
      <c r="D78" s="27">
        <v>20</v>
      </c>
      <c r="E78" s="27">
        <v>0</v>
      </c>
      <c r="F78" s="27">
        <v>3</v>
      </c>
      <c r="G78" s="27">
        <v>27.187000000000001</v>
      </c>
      <c r="H78" t="str">
        <f t="shared" si="5"/>
        <v>Normal</v>
      </c>
      <c r="I78" t="str">
        <f t="shared" si="4"/>
        <v>Normal</v>
      </c>
    </row>
    <row r="79" spans="1:9" ht="30.75" thickBot="1" x14ac:dyDescent="0.3">
      <c r="A79" s="26">
        <v>45436.59679398148</v>
      </c>
      <c r="B79" s="27">
        <v>19</v>
      </c>
      <c r="C79" s="4" t="s">
        <v>113</v>
      </c>
      <c r="D79" s="27">
        <v>20</v>
      </c>
      <c r="E79" s="27">
        <v>0</v>
      </c>
      <c r="F79" s="27">
        <v>2</v>
      </c>
      <c r="G79" s="27">
        <v>20.943000000000001</v>
      </c>
      <c r="H79" t="str">
        <f t="shared" si="5"/>
        <v>Normal</v>
      </c>
      <c r="I79" t="str">
        <f t="shared" si="4"/>
        <v>Normal</v>
      </c>
    </row>
    <row r="80" spans="1:9" ht="30.75" thickBot="1" x14ac:dyDescent="0.3">
      <c r="A80" s="26">
        <v>45436.597094907411</v>
      </c>
      <c r="B80" s="27">
        <v>22</v>
      </c>
      <c r="C80" s="4" t="s">
        <v>114</v>
      </c>
      <c r="D80" s="27">
        <v>20</v>
      </c>
      <c r="E80" s="27">
        <v>0</v>
      </c>
      <c r="F80" s="27">
        <v>2</v>
      </c>
      <c r="G80" s="27">
        <v>19.603999999999999</v>
      </c>
      <c r="H80" t="str">
        <f t="shared" si="5"/>
        <v>Normal</v>
      </c>
      <c r="I80" t="str">
        <f t="shared" si="4"/>
        <v>Normal</v>
      </c>
    </row>
    <row r="81" spans="1:9" ht="30.75" thickBot="1" x14ac:dyDescent="0.3">
      <c r="A81" s="28">
        <v>45436.597673611112</v>
      </c>
      <c r="B81" s="29">
        <v>19</v>
      </c>
      <c r="C81" s="30" t="s">
        <v>115</v>
      </c>
      <c r="D81" s="29">
        <v>19</v>
      </c>
      <c r="E81" s="29">
        <v>1</v>
      </c>
      <c r="F81" s="29">
        <v>4</v>
      </c>
      <c r="G81" s="29">
        <v>19.620999999999999</v>
      </c>
      <c r="H81" s="31" t="str">
        <f t="shared" si="5"/>
        <v>Normal</v>
      </c>
      <c r="I81" s="31" t="str">
        <f t="shared" si="4"/>
        <v>Outlier</v>
      </c>
    </row>
    <row r="82" spans="1:9" ht="30.75" thickBot="1" x14ac:dyDescent="0.3">
      <c r="A82" s="26">
        <v>45436.597858796296</v>
      </c>
      <c r="B82" s="27">
        <v>20</v>
      </c>
      <c r="C82" s="4" t="s">
        <v>116</v>
      </c>
      <c r="D82" s="27">
        <v>20</v>
      </c>
      <c r="E82" s="27">
        <v>0</v>
      </c>
      <c r="F82" s="27">
        <v>4</v>
      </c>
      <c r="G82" s="27">
        <v>15.935</v>
      </c>
      <c r="H82" t="str">
        <f t="shared" si="5"/>
        <v>Normal</v>
      </c>
      <c r="I82" t="str">
        <f t="shared" si="4"/>
        <v>Normal</v>
      </c>
    </row>
    <row r="83" spans="1:9" ht="30.75" thickBot="1" x14ac:dyDescent="0.3">
      <c r="A83" s="26">
        <v>45436.599085648151</v>
      </c>
      <c r="B83" s="27">
        <v>19</v>
      </c>
      <c r="C83" s="4" t="s">
        <v>117</v>
      </c>
      <c r="D83" s="27">
        <v>20</v>
      </c>
      <c r="E83" s="27">
        <v>0</v>
      </c>
      <c r="F83" s="27">
        <v>4</v>
      </c>
      <c r="G83" s="27">
        <v>22.094999999999999</v>
      </c>
      <c r="H83" t="str">
        <f t="shared" si="5"/>
        <v>Normal</v>
      </c>
      <c r="I83" t="str">
        <f t="shared" si="4"/>
        <v>Normal</v>
      </c>
    </row>
    <row r="84" spans="1:9" ht="30.75" thickBot="1" x14ac:dyDescent="0.3">
      <c r="A84" s="28">
        <v>45436.617245370369</v>
      </c>
      <c r="B84" s="29">
        <v>31</v>
      </c>
      <c r="C84" s="30" t="s">
        <v>118</v>
      </c>
      <c r="D84" s="29">
        <v>20</v>
      </c>
      <c r="E84" s="29">
        <v>0</v>
      </c>
      <c r="F84" s="29">
        <v>0</v>
      </c>
      <c r="G84" s="29">
        <v>33.143999999999998</v>
      </c>
      <c r="H84" s="31" t="str">
        <f t="shared" si="5"/>
        <v>Outlier</v>
      </c>
      <c r="I84" s="31" t="str">
        <f t="shared" si="4"/>
        <v>Normal</v>
      </c>
    </row>
    <row r="85" spans="1:9" ht="30.75" thickBot="1" x14ac:dyDescent="0.3">
      <c r="A85" s="28">
        <v>45437.518252314818</v>
      </c>
      <c r="B85" s="29">
        <v>9</v>
      </c>
      <c r="C85" s="30" t="s">
        <v>119</v>
      </c>
      <c r="D85" s="29">
        <v>19</v>
      </c>
      <c r="E85" s="29">
        <v>1</v>
      </c>
      <c r="F85" s="29">
        <v>3</v>
      </c>
      <c r="G85" s="29">
        <v>42.585999999999999</v>
      </c>
      <c r="H85" s="31" t="str">
        <f t="shared" si="5"/>
        <v>Outlier</v>
      </c>
      <c r="I85" s="31" t="str">
        <f t="shared" si="4"/>
        <v>Outlier</v>
      </c>
    </row>
    <row r="86" spans="1:9" ht="30.75" thickBot="1" x14ac:dyDescent="0.3">
      <c r="A86" s="26">
        <v>45437.520127314812</v>
      </c>
      <c r="B86" s="27">
        <v>14</v>
      </c>
      <c r="C86" s="4" t="s">
        <v>120</v>
      </c>
      <c r="D86" s="27">
        <v>20</v>
      </c>
      <c r="E86" s="27">
        <v>0</v>
      </c>
      <c r="F86" s="27">
        <v>4</v>
      </c>
      <c r="G86" s="27">
        <v>25.021999999999998</v>
      </c>
      <c r="H86" t="str">
        <f t="shared" si="5"/>
        <v>Normal</v>
      </c>
      <c r="I86" t="str">
        <f t="shared" si="4"/>
        <v>Normal</v>
      </c>
    </row>
    <row r="87" spans="1:9" ht="30.75" thickBot="1" x14ac:dyDescent="0.3">
      <c r="A87" s="26">
        <v>45441.693877314814</v>
      </c>
      <c r="B87" s="27">
        <v>36</v>
      </c>
      <c r="C87" s="4" t="s">
        <v>121</v>
      </c>
      <c r="D87" s="27">
        <v>20</v>
      </c>
      <c r="E87" s="27">
        <v>0</v>
      </c>
      <c r="F87" s="27">
        <v>1</v>
      </c>
      <c r="G87" s="27">
        <v>27.702999999999999</v>
      </c>
      <c r="H87" t="str">
        <f t="shared" si="5"/>
        <v>Normal</v>
      </c>
      <c r="I87" t="str">
        <f t="shared" si="4"/>
        <v>Normal</v>
      </c>
    </row>
    <row r="88" spans="1:9" ht="30.75" thickBot="1" x14ac:dyDescent="0.3">
      <c r="A88" s="26">
        <v>45441.694513888891</v>
      </c>
      <c r="B88" s="27">
        <v>36</v>
      </c>
      <c r="C88" s="4" t="s">
        <v>121</v>
      </c>
      <c r="D88" s="27">
        <v>20</v>
      </c>
      <c r="E88" s="27">
        <v>0</v>
      </c>
      <c r="F88" s="27">
        <v>2</v>
      </c>
      <c r="G88" s="27">
        <v>25.678000000000001</v>
      </c>
      <c r="H88" t="str">
        <f t="shared" si="5"/>
        <v>Normal</v>
      </c>
      <c r="I88" t="str">
        <f t="shared" si="4"/>
        <v>Normal</v>
      </c>
    </row>
    <row r="89" spans="1:9" ht="30.75" thickBot="1" x14ac:dyDescent="0.3">
      <c r="A89" s="26">
        <v>45441.694884259261</v>
      </c>
      <c r="B89" s="27">
        <v>36</v>
      </c>
      <c r="C89" s="4" t="s">
        <v>121</v>
      </c>
      <c r="D89" s="27">
        <v>20</v>
      </c>
      <c r="E89" s="27">
        <v>0</v>
      </c>
      <c r="F89" s="27">
        <v>2</v>
      </c>
      <c r="G89" s="27">
        <v>19.09</v>
      </c>
      <c r="H89" t="str">
        <f t="shared" si="5"/>
        <v>Normal</v>
      </c>
      <c r="I89" t="str">
        <f t="shared" si="4"/>
        <v>Normal</v>
      </c>
    </row>
    <row r="90" spans="1:9" ht="30.75" thickBot="1" x14ac:dyDescent="0.3">
      <c r="A90" s="26">
        <v>45441.735000000001</v>
      </c>
      <c r="B90" s="27">
        <v>7</v>
      </c>
      <c r="C90" s="4" t="s">
        <v>122</v>
      </c>
      <c r="D90" s="27">
        <v>20</v>
      </c>
      <c r="E90" s="27">
        <v>0</v>
      </c>
      <c r="F90" s="27">
        <v>1</v>
      </c>
      <c r="G90" s="27">
        <v>23.184000000000001</v>
      </c>
      <c r="H90" t="str">
        <f t="shared" si="5"/>
        <v>Normal</v>
      </c>
      <c r="I90" t="str">
        <f t="shared" si="4"/>
        <v>Normal</v>
      </c>
    </row>
    <row r="91" spans="1:9" ht="30.75" thickBot="1" x14ac:dyDescent="0.3">
      <c r="A91" s="26">
        <v>45443.040763888886</v>
      </c>
      <c r="B91" s="27">
        <v>19</v>
      </c>
      <c r="C91" s="4" t="s">
        <v>123</v>
      </c>
      <c r="D91" s="27">
        <v>20</v>
      </c>
      <c r="E91" s="27">
        <v>0</v>
      </c>
      <c r="F91" s="27">
        <v>0</v>
      </c>
      <c r="G91" s="27">
        <v>17.195</v>
      </c>
      <c r="H91" t="str">
        <f t="shared" si="5"/>
        <v>Normal</v>
      </c>
      <c r="I91" t="str">
        <f t="shared" si="4"/>
        <v>Normal</v>
      </c>
    </row>
    <row r="92" spans="1:9" ht="30.75" thickBot="1" x14ac:dyDescent="0.3">
      <c r="A92" s="26">
        <v>45443.041203703702</v>
      </c>
      <c r="B92" s="27">
        <v>19</v>
      </c>
      <c r="C92" s="4" t="s">
        <v>124</v>
      </c>
      <c r="D92" s="27">
        <v>20</v>
      </c>
      <c r="E92" s="27">
        <v>0</v>
      </c>
      <c r="F92" s="27">
        <v>1</v>
      </c>
      <c r="G92" s="27">
        <v>19.613</v>
      </c>
      <c r="H92" t="str">
        <f t="shared" si="5"/>
        <v>Normal</v>
      </c>
      <c r="I92" t="str">
        <f t="shared" si="4"/>
        <v>Normal</v>
      </c>
    </row>
    <row r="93" spans="1:9" ht="15.75" thickBot="1" x14ac:dyDescent="0.3"/>
    <row r="94" spans="1:9" ht="30.75" thickBot="1" x14ac:dyDescent="0.3">
      <c r="A94" s="26">
        <v>45443.718287037038</v>
      </c>
      <c r="B94" s="27">
        <v>19</v>
      </c>
      <c r="C94" s="4" t="s">
        <v>126</v>
      </c>
      <c r="D94" s="27">
        <v>20</v>
      </c>
      <c r="E94" s="27">
        <v>0</v>
      </c>
      <c r="F94" s="27">
        <v>0</v>
      </c>
      <c r="G94" s="27">
        <v>13.272</v>
      </c>
      <c r="H94" t="str">
        <f t="shared" si="5"/>
        <v>Normal</v>
      </c>
      <c r="I94" t="str">
        <f t="shared" si="4"/>
        <v>Normal</v>
      </c>
    </row>
    <row r="95" spans="1:9" ht="30.75" thickBot="1" x14ac:dyDescent="0.3">
      <c r="A95" s="26">
        <v>45443.718495370369</v>
      </c>
      <c r="B95" s="27">
        <v>19</v>
      </c>
      <c r="C95" s="4" t="s">
        <v>126</v>
      </c>
      <c r="D95" s="27">
        <v>20</v>
      </c>
      <c r="E95" s="27">
        <v>0</v>
      </c>
      <c r="F95" s="27">
        <v>0</v>
      </c>
      <c r="G95" s="27">
        <v>11.938000000000001</v>
      </c>
      <c r="H95" t="str">
        <f t="shared" si="5"/>
        <v>Normal</v>
      </c>
      <c r="I95" t="str">
        <f t="shared" si="4"/>
        <v>Normal</v>
      </c>
    </row>
    <row r="96" spans="1:9" ht="30.75" thickBot="1" x14ac:dyDescent="0.3">
      <c r="A96" s="26">
        <v>45443.7187037037</v>
      </c>
      <c r="B96" s="27">
        <v>19</v>
      </c>
      <c r="C96" s="4" t="s">
        <v>126</v>
      </c>
      <c r="D96" s="27">
        <v>20</v>
      </c>
      <c r="E96" s="27">
        <v>0</v>
      </c>
      <c r="F96" s="27">
        <v>0</v>
      </c>
      <c r="G96" s="27">
        <v>11.699</v>
      </c>
      <c r="H96" t="str">
        <f t="shared" si="5"/>
        <v>Normal</v>
      </c>
      <c r="I96" t="str">
        <f t="shared" si="4"/>
        <v>Normal</v>
      </c>
    </row>
    <row r="97" spans="1:9" ht="30.75" thickBot="1" x14ac:dyDescent="0.3">
      <c r="A97" s="26">
        <v>45443.718877314815</v>
      </c>
      <c r="B97" s="27">
        <v>19</v>
      </c>
      <c r="C97" s="4" t="s">
        <v>126</v>
      </c>
      <c r="D97" s="27">
        <v>20</v>
      </c>
      <c r="E97" s="27">
        <v>0</v>
      </c>
      <c r="F97" s="27">
        <v>2</v>
      </c>
      <c r="G97" s="27">
        <v>12.46</v>
      </c>
      <c r="H97" t="str">
        <f t="shared" si="5"/>
        <v>Normal</v>
      </c>
      <c r="I97" t="str">
        <f t="shared" si="4"/>
        <v>Normal</v>
      </c>
    </row>
    <row r="98" spans="1:9" ht="30.75" thickBot="1" x14ac:dyDescent="0.3">
      <c r="A98" s="26">
        <v>45443.719074074077</v>
      </c>
      <c r="B98" s="27">
        <v>19</v>
      </c>
      <c r="C98" s="4" t="s">
        <v>126</v>
      </c>
      <c r="D98" s="27">
        <v>20</v>
      </c>
      <c r="E98" s="27">
        <v>0</v>
      </c>
      <c r="F98" s="27">
        <v>0</v>
      </c>
      <c r="G98" s="27">
        <v>12.204000000000001</v>
      </c>
      <c r="H98" t="str">
        <f t="shared" si="5"/>
        <v>Normal</v>
      </c>
      <c r="I98" t="str">
        <f t="shared" si="4"/>
        <v>Normal</v>
      </c>
    </row>
    <row r="99" spans="1:9" ht="30.75" thickBot="1" x14ac:dyDescent="0.3">
      <c r="A99" s="26">
        <v>45443.719189814816</v>
      </c>
      <c r="B99" s="27">
        <v>25</v>
      </c>
      <c r="C99" s="4" t="s">
        <v>127</v>
      </c>
      <c r="D99" s="27">
        <v>20</v>
      </c>
      <c r="E99" s="27">
        <v>0</v>
      </c>
      <c r="F99" s="27">
        <v>1</v>
      </c>
      <c r="G99" s="27">
        <v>15.105</v>
      </c>
      <c r="H99" t="str">
        <f t="shared" si="5"/>
        <v>Normal</v>
      </c>
      <c r="I99" t="str">
        <f t="shared" si="4"/>
        <v>Normal</v>
      </c>
    </row>
    <row r="100" spans="1:9" ht="30.75" thickBot="1" x14ac:dyDescent="0.3">
      <c r="A100" s="26">
        <v>45443.719236111108</v>
      </c>
      <c r="B100" s="27">
        <v>19</v>
      </c>
      <c r="C100" s="4" t="s">
        <v>126</v>
      </c>
      <c r="D100" s="27">
        <v>20</v>
      </c>
      <c r="E100" s="27">
        <v>0</v>
      </c>
      <c r="F100" s="27">
        <v>0</v>
      </c>
      <c r="G100" s="27">
        <v>12.606999999999999</v>
      </c>
      <c r="H100" t="str">
        <f t="shared" si="5"/>
        <v>Normal</v>
      </c>
      <c r="I100" t="str">
        <f t="shared" si="4"/>
        <v>Normal</v>
      </c>
    </row>
    <row r="101" spans="1:9" ht="30.75" thickBot="1" x14ac:dyDescent="0.3">
      <c r="A101" s="26">
        <v>45443.719525462962</v>
      </c>
      <c r="B101" s="27">
        <v>25</v>
      </c>
      <c r="C101" s="4" t="s">
        <v>127</v>
      </c>
      <c r="D101" s="27">
        <v>20</v>
      </c>
      <c r="E101" s="27">
        <v>0</v>
      </c>
      <c r="F101" s="27">
        <v>3</v>
      </c>
      <c r="G101" s="27">
        <v>15.13</v>
      </c>
      <c r="H101" t="str">
        <f t="shared" si="5"/>
        <v>Normal</v>
      </c>
      <c r="I101" t="str">
        <f t="shared" si="4"/>
        <v>Normal</v>
      </c>
    </row>
    <row r="102" spans="1:9" ht="30.75" thickBot="1" x14ac:dyDescent="0.3">
      <c r="A102" s="28">
        <v>45443.719768518517</v>
      </c>
      <c r="B102" s="29">
        <v>19</v>
      </c>
      <c r="C102" s="30" t="s">
        <v>126</v>
      </c>
      <c r="D102" s="29">
        <v>19</v>
      </c>
      <c r="E102" s="29">
        <v>1</v>
      </c>
      <c r="F102" s="29">
        <v>1</v>
      </c>
      <c r="G102" s="29">
        <v>14.788</v>
      </c>
      <c r="H102" s="31" t="str">
        <f t="shared" si="5"/>
        <v>Normal</v>
      </c>
      <c r="I102" s="31" t="str">
        <f t="shared" si="4"/>
        <v>Outlier</v>
      </c>
    </row>
    <row r="103" spans="1:9" ht="30.75" thickBot="1" x14ac:dyDescent="0.3">
      <c r="A103" s="26">
        <v>45443.719953703701</v>
      </c>
      <c r="B103" s="27">
        <v>19</v>
      </c>
      <c r="C103" s="4" t="s">
        <v>126</v>
      </c>
      <c r="D103" s="27">
        <v>20</v>
      </c>
      <c r="E103" s="27">
        <v>0</v>
      </c>
      <c r="F103" s="27">
        <v>0</v>
      </c>
      <c r="G103" s="27">
        <v>12.439</v>
      </c>
      <c r="H103" t="str">
        <f t="shared" si="5"/>
        <v>Normal</v>
      </c>
      <c r="I103" t="str">
        <f t="shared" si="4"/>
        <v>Normal</v>
      </c>
    </row>
    <row r="104" spans="1:9" ht="30.75" thickBot="1" x14ac:dyDescent="0.3">
      <c r="A104" s="26">
        <v>45443.720138888886</v>
      </c>
      <c r="B104" s="27">
        <v>19</v>
      </c>
      <c r="C104" s="4" t="s">
        <v>126</v>
      </c>
      <c r="D104" s="27">
        <v>20</v>
      </c>
      <c r="E104" s="27">
        <v>0</v>
      </c>
      <c r="F104" s="27">
        <v>0</v>
      </c>
      <c r="G104" s="27">
        <v>12.443</v>
      </c>
      <c r="H104" t="str">
        <f t="shared" si="5"/>
        <v>Normal</v>
      </c>
      <c r="I104" t="str">
        <f t="shared" si="4"/>
        <v>Normal</v>
      </c>
    </row>
    <row r="105" spans="1:9" ht="30.75" thickBot="1" x14ac:dyDescent="0.3">
      <c r="A105" s="26">
        <v>45443.720555555556</v>
      </c>
      <c r="B105" s="27">
        <v>19</v>
      </c>
      <c r="C105" s="4" t="s">
        <v>126</v>
      </c>
      <c r="D105" s="27">
        <v>20</v>
      </c>
      <c r="E105" s="27">
        <v>0</v>
      </c>
      <c r="F105" s="27">
        <v>1</v>
      </c>
      <c r="G105" s="27">
        <v>12.846</v>
      </c>
      <c r="H105" t="str">
        <f t="shared" si="5"/>
        <v>Normal</v>
      </c>
      <c r="I105" t="str">
        <f t="shared" si="4"/>
        <v>Normal</v>
      </c>
    </row>
    <row r="106" spans="1:9" ht="30.75" thickBot="1" x14ac:dyDescent="0.3">
      <c r="A106" s="28">
        <v>45445.852141203701</v>
      </c>
      <c r="B106" s="29">
        <v>19</v>
      </c>
      <c r="C106" s="30" t="s">
        <v>128</v>
      </c>
      <c r="D106" s="29">
        <v>20</v>
      </c>
      <c r="E106" s="29">
        <v>0</v>
      </c>
      <c r="F106" s="29">
        <v>2</v>
      </c>
      <c r="G106" s="29">
        <v>43.564999999999998</v>
      </c>
      <c r="H106" s="31" t="str">
        <f t="shared" si="5"/>
        <v>Outlier</v>
      </c>
      <c r="I106" s="31" t="str">
        <f t="shared" si="4"/>
        <v>Normal</v>
      </c>
    </row>
    <row r="107" spans="1:9" ht="30.75" thickBot="1" x14ac:dyDescent="0.3">
      <c r="A107" s="28">
        <v>45446.939363425925</v>
      </c>
      <c r="B107" s="29">
        <v>19</v>
      </c>
      <c r="C107" s="30" t="s">
        <v>129</v>
      </c>
      <c r="D107" s="29">
        <v>1</v>
      </c>
      <c r="E107" s="29">
        <v>19</v>
      </c>
      <c r="F107" s="29">
        <v>14</v>
      </c>
      <c r="G107" s="29">
        <v>41.204999999999998</v>
      </c>
      <c r="H107" s="31" t="str">
        <f t="shared" si="5"/>
        <v>Outlier</v>
      </c>
      <c r="I107" s="31" t="str">
        <f t="shared" si="4"/>
        <v>Outlier</v>
      </c>
    </row>
    <row r="108" spans="1:9" ht="30.75" thickBot="1" x14ac:dyDescent="0.3">
      <c r="A108" s="28">
        <v>45449.661956018521</v>
      </c>
      <c r="B108" s="29">
        <v>12</v>
      </c>
      <c r="C108" s="30" t="s">
        <v>130</v>
      </c>
      <c r="D108" s="29">
        <v>1</v>
      </c>
      <c r="E108" s="29">
        <v>19</v>
      </c>
      <c r="F108" s="29">
        <v>0</v>
      </c>
      <c r="G108" s="29">
        <v>4.5940000000000003</v>
      </c>
      <c r="H108" s="31" t="str">
        <f t="shared" si="5"/>
        <v>Outlier</v>
      </c>
      <c r="I108" s="31" t="str">
        <f t="shared" si="4"/>
        <v>Outlier</v>
      </c>
    </row>
    <row r="109" spans="1:9" ht="15.75" thickBot="1" x14ac:dyDescent="0.3"/>
    <row r="110" spans="1:9" ht="30.75" thickBot="1" x14ac:dyDescent="0.3">
      <c r="A110" s="26">
        <v>45799.685104166667</v>
      </c>
      <c r="B110" s="27">
        <v>43</v>
      </c>
      <c r="C110" s="4" t="s">
        <v>132</v>
      </c>
      <c r="D110" s="27">
        <v>20</v>
      </c>
      <c r="E110" s="27">
        <v>0</v>
      </c>
      <c r="F110" s="27">
        <v>0</v>
      </c>
      <c r="G110" s="27">
        <v>20.751000000000001</v>
      </c>
      <c r="H110" t="str">
        <f t="shared" si="5"/>
        <v>Normal</v>
      </c>
      <c r="I110" t="str">
        <f t="shared" si="4"/>
        <v>Normal</v>
      </c>
    </row>
    <row r="114" spans="1:11" ht="34.5" x14ac:dyDescent="0.55000000000000004">
      <c r="A114" s="33" t="s">
        <v>133</v>
      </c>
      <c r="B114" s="32"/>
      <c r="C114" s="32"/>
      <c r="D114" s="32"/>
      <c r="E114" s="32"/>
      <c r="F114" s="32"/>
      <c r="G114" s="32"/>
      <c r="H114" s="32"/>
      <c r="I114" s="32"/>
    </row>
    <row r="115" spans="1:11" ht="15" customHeight="1" thickBot="1" x14ac:dyDescent="0.55000000000000004">
      <c r="A115" s="32"/>
      <c r="B115" s="32"/>
      <c r="C115" s="32"/>
      <c r="D115" s="32"/>
      <c r="E115" s="32"/>
      <c r="F115" s="32"/>
      <c r="G115" s="32"/>
      <c r="H115" s="32"/>
      <c r="I115" s="32"/>
    </row>
    <row r="116" spans="1:11" ht="30.75" thickBot="1" x14ac:dyDescent="0.3">
      <c r="A116" s="28">
        <v>45436.582361111112</v>
      </c>
      <c r="B116" s="29">
        <v>20</v>
      </c>
      <c r="C116" s="30" t="s">
        <v>108</v>
      </c>
      <c r="D116" s="29">
        <v>20</v>
      </c>
      <c r="E116" s="29">
        <v>0</v>
      </c>
      <c r="F116" s="29">
        <v>7</v>
      </c>
      <c r="G116" s="29">
        <v>110.057</v>
      </c>
      <c r="H116" s="31" t="str">
        <f>IF(OR(G116&lt;$O$7, G116&gt;$O$8), "Outlier", "Normal")</f>
        <v>Outlier</v>
      </c>
      <c r="I116" s="31" t="str">
        <f>IF(OR(D116&lt;$R$7, D116&gt;$R$8), "Outlier", "Normal")</f>
        <v>Normal</v>
      </c>
    </row>
    <row r="117" spans="1:11" ht="30.75" thickBot="1" x14ac:dyDescent="0.3">
      <c r="A117" s="28">
        <v>45443.593738425923</v>
      </c>
      <c r="B117" s="29">
        <v>19</v>
      </c>
      <c r="C117" s="30" t="s">
        <v>125</v>
      </c>
      <c r="D117" s="29">
        <v>19</v>
      </c>
      <c r="E117" s="29">
        <v>1</v>
      </c>
      <c r="F117" s="29">
        <v>5</v>
      </c>
      <c r="G117" s="29">
        <v>2125.4119999999998</v>
      </c>
      <c r="H117" s="31" t="str">
        <f>IF(OR(G117&lt;$O$7, G117&gt;$O$8), "Outlier", "Normal")</f>
        <v>Outlier</v>
      </c>
      <c r="I117" s="31" t="str">
        <f>IF(OR(D117&lt;$R$7, D117&gt;$R$8), "Outlier", "Normal")</f>
        <v>Outlier</v>
      </c>
    </row>
    <row r="118" spans="1:11" ht="30.75" thickBot="1" x14ac:dyDescent="0.3">
      <c r="A118" s="28">
        <v>45799.410173611112</v>
      </c>
      <c r="B118" s="29">
        <v>43</v>
      </c>
      <c r="C118" s="30" t="s">
        <v>131</v>
      </c>
      <c r="D118" s="29">
        <v>20</v>
      </c>
      <c r="E118" s="29">
        <v>0</v>
      </c>
      <c r="F118" s="29">
        <v>0</v>
      </c>
      <c r="G118" s="29">
        <v>145.63300000000001</v>
      </c>
      <c r="H118" s="31" t="str">
        <f>IF(OR(G118&lt;$O$7, G118&gt;$O$8), "Outlier", "Normal")</f>
        <v>Outlier</v>
      </c>
      <c r="I118" s="31" t="str">
        <f>IF(OR(D118&lt;$R$7, D118&gt;$R$8), "Outlier", "Normal")</f>
        <v>Normal</v>
      </c>
    </row>
    <row r="121" spans="1:11" ht="15.75" thickBot="1" x14ac:dyDescent="0.3">
      <c r="A121" s="45" t="s">
        <v>66</v>
      </c>
      <c r="B121" s="45"/>
      <c r="C121" s="45"/>
      <c r="D121" s="45"/>
      <c r="E121" s="45"/>
      <c r="F121" s="45"/>
      <c r="G121" s="45"/>
      <c r="H121" s="45"/>
      <c r="I121" s="45"/>
    </row>
    <row r="122" spans="1:11" ht="29.25" thickBot="1" x14ac:dyDescent="0.3">
      <c r="A122" s="27" t="s">
        <v>0</v>
      </c>
      <c r="B122" s="27" t="s">
        <v>1</v>
      </c>
      <c r="C122" s="27" t="s">
        <v>2</v>
      </c>
      <c r="D122" s="27" t="s">
        <v>3</v>
      </c>
      <c r="E122" s="27" t="s">
        <v>4</v>
      </c>
      <c r="F122" s="27" t="s">
        <v>5</v>
      </c>
      <c r="G122" s="27" t="s">
        <v>68</v>
      </c>
      <c r="I122" s="1" t="s">
        <v>67</v>
      </c>
      <c r="J122" s="27" t="s">
        <v>68</v>
      </c>
      <c r="K122" s="27" t="s">
        <v>3</v>
      </c>
    </row>
    <row r="123" spans="1:11" ht="30.75" thickBot="1" x14ac:dyDescent="0.3">
      <c r="A123" s="26">
        <v>45436.378680555557</v>
      </c>
      <c r="B123" s="27">
        <v>42</v>
      </c>
      <c r="C123" s="4" t="s">
        <v>69</v>
      </c>
      <c r="D123" s="27">
        <v>20</v>
      </c>
      <c r="E123" s="27">
        <v>0</v>
      </c>
      <c r="F123" s="27">
        <v>1</v>
      </c>
      <c r="G123" s="27">
        <v>24.353000000000002</v>
      </c>
      <c r="I123" s="3">
        <v>1</v>
      </c>
      <c r="J123" s="27">
        <v>24.353000000000002</v>
      </c>
      <c r="K123" s="27">
        <v>20</v>
      </c>
    </row>
    <row r="124" spans="1:11" ht="30.75" thickBot="1" x14ac:dyDescent="0.3">
      <c r="A124" s="26">
        <v>45436.379490740743</v>
      </c>
      <c r="B124" s="27">
        <v>30</v>
      </c>
      <c r="C124" s="4" t="s">
        <v>70</v>
      </c>
      <c r="D124" s="27">
        <v>20</v>
      </c>
      <c r="E124" s="27">
        <v>0</v>
      </c>
      <c r="F124" s="27">
        <v>4</v>
      </c>
      <c r="G124" s="27">
        <v>19.001999999999999</v>
      </c>
      <c r="I124" s="3">
        <f>I123+1</f>
        <v>2</v>
      </c>
      <c r="J124" s="27">
        <v>19.001999999999999</v>
      </c>
      <c r="K124" s="27">
        <v>20</v>
      </c>
    </row>
    <row r="125" spans="1:11" ht="30.75" thickBot="1" x14ac:dyDescent="0.3">
      <c r="A125" s="26">
        <v>45436.379895833335</v>
      </c>
      <c r="B125" s="27">
        <v>30</v>
      </c>
      <c r="C125" s="4" t="s">
        <v>70</v>
      </c>
      <c r="D125" s="27">
        <v>20</v>
      </c>
      <c r="E125" s="27">
        <v>0</v>
      </c>
      <c r="F125" s="27">
        <v>2</v>
      </c>
      <c r="G125" s="27">
        <v>17.699000000000002</v>
      </c>
      <c r="I125" s="3">
        <f t="shared" ref="I125:I188" si="6">I124+1</f>
        <v>3</v>
      </c>
      <c r="J125" s="27">
        <v>17.699000000000002</v>
      </c>
      <c r="K125" s="27">
        <v>20</v>
      </c>
    </row>
    <row r="126" spans="1:11" ht="30.75" thickBot="1" x14ac:dyDescent="0.3">
      <c r="A126" s="26">
        <v>45436.380335648151</v>
      </c>
      <c r="B126" s="27">
        <v>30</v>
      </c>
      <c r="C126" s="4" t="s">
        <v>70</v>
      </c>
      <c r="D126" s="27">
        <v>20</v>
      </c>
      <c r="E126" s="27">
        <v>0</v>
      </c>
      <c r="F126" s="27">
        <v>5</v>
      </c>
      <c r="G126" s="27">
        <v>21.652000000000001</v>
      </c>
      <c r="I126" s="3">
        <f t="shared" si="6"/>
        <v>4</v>
      </c>
      <c r="J126" s="27">
        <v>21.652000000000001</v>
      </c>
      <c r="K126" s="27">
        <v>20</v>
      </c>
    </row>
    <row r="127" spans="1:11" ht="30.75" thickBot="1" x14ac:dyDescent="0.3">
      <c r="A127" s="26">
        <v>45436.380659722221</v>
      </c>
      <c r="B127" s="27">
        <v>30</v>
      </c>
      <c r="C127" s="4" t="s">
        <v>70</v>
      </c>
      <c r="D127" s="27">
        <v>20</v>
      </c>
      <c r="E127" s="27">
        <v>0</v>
      </c>
      <c r="F127" s="27">
        <v>2</v>
      </c>
      <c r="G127" s="27">
        <v>18.216999999999999</v>
      </c>
      <c r="I127" s="3">
        <f t="shared" si="6"/>
        <v>5</v>
      </c>
      <c r="J127" s="27">
        <v>18.216999999999999</v>
      </c>
      <c r="K127" s="27">
        <v>20</v>
      </c>
    </row>
    <row r="128" spans="1:11" ht="30.75" thickBot="1" x14ac:dyDescent="0.3">
      <c r="A128" s="26">
        <v>45436.381018518521</v>
      </c>
      <c r="B128" s="27">
        <v>30</v>
      </c>
      <c r="C128" s="4" t="s">
        <v>71</v>
      </c>
      <c r="D128" s="27">
        <v>20</v>
      </c>
      <c r="E128" s="27">
        <v>0</v>
      </c>
      <c r="F128" s="27">
        <v>1</v>
      </c>
      <c r="G128" s="27">
        <v>17.837</v>
      </c>
      <c r="I128" s="3">
        <f t="shared" si="6"/>
        <v>6</v>
      </c>
      <c r="J128" s="27">
        <v>17.837</v>
      </c>
      <c r="K128" s="27">
        <v>20</v>
      </c>
    </row>
    <row r="129" spans="1:11" ht="30.75" thickBot="1" x14ac:dyDescent="0.3">
      <c r="A129" s="26">
        <v>45436.380972222221</v>
      </c>
      <c r="B129" s="27">
        <v>23</v>
      </c>
      <c r="C129" s="4" t="s">
        <v>72</v>
      </c>
      <c r="D129" s="27">
        <v>20</v>
      </c>
      <c r="E129" s="27">
        <v>0</v>
      </c>
      <c r="F129" s="27">
        <v>1</v>
      </c>
      <c r="G129" s="27">
        <v>29.446999999999999</v>
      </c>
      <c r="I129" s="3">
        <f t="shared" si="6"/>
        <v>7</v>
      </c>
      <c r="J129" s="27">
        <v>29.446999999999999</v>
      </c>
      <c r="K129" s="27">
        <v>20</v>
      </c>
    </row>
    <row r="130" spans="1:11" ht="30.75" thickBot="1" x14ac:dyDescent="0.3">
      <c r="A130" s="26">
        <v>45436.381377314814</v>
      </c>
      <c r="B130" s="27">
        <v>23</v>
      </c>
      <c r="C130" s="4" t="s">
        <v>72</v>
      </c>
      <c r="D130" s="27">
        <v>20</v>
      </c>
      <c r="E130" s="27">
        <v>0</v>
      </c>
      <c r="F130" s="27">
        <v>1</v>
      </c>
      <c r="G130" s="27">
        <v>25.306999999999999</v>
      </c>
      <c r="I130" s="3">
        <f t="shared" si="6"/>
        <v>8</v>
      </c>
      <c r="J130" s="27">
        <v>25.306999999999999</v>
      </c>
      <c r="K130" s="27">
        <v>20</v>
      </c>
    </row>
    <row r="131" spans="1:11" ht="30.75" thickBot="1" x14ac:dyDescent="0.3">
      <c r="A131" s="26">
        <v>45436.386296296296</v>
      </c>
      <c r="B131" s="27">
        <v>35</v>
      </c>
      <c r="C131" s="4" t="s">
        <v>73</v>
      </c>
      <c r="D131" s="27">
        <v>20</v>
      </c>
      <c r="E131" s="27">
        <v>0</v>
      </c>
      <c r="F131" s="27">
        <v>5</v>
      </c>
      <c r="G131" s="27">
        <v>20.526</v>
      </c>
      <c r="I131" s="3">
        <f t="shared" si="6"/>
        <v>9</v>
      </c>
      <c r="J131" s="27">
        <v>20.526</v>
      </c>
      <c r="K131" s="27">
        <v>20</v>
      </c>
    </row>
    <row r="132" spans="1:11" ht="30.75" thickBot="1" x14ac:dyDescent="0.3">
      <c r="A132" s="26">
        <v>45436.386562500003</v>
      </c>
      <c r="B132" s="27">
        <v>35</v>
      </c>
      <c r="C132" s="4" t="s">
        <v>73</v>
      </c>
      <c r="D132" s="27">
        <v>20</v>
      </c>
      <c r="E132" s="27">
        <v>0</v>
      </c>
      <c r="F132" s="27">
        <v>7</v>
      </c>
      <c r="G132" s="27">
        <v>19.692</v>
      </c>
      <c r="I132" s="3">
        <f t="shared" si="6"/>
        <v>10</v>
      </c>
      <c r="J132" s="27">
        <v>19.692</v>
      </c>
      <c r="K132" s="27">
        <v>20</v>
      </c>
    </row>
    <row r="133" spans="1:11" ht="30.75" thickBot="1" x14ac:dyDescent="0.3">
      <c r="A133" s="26">
        <v>45436.386817129627</v>
      </c>
      <c r="B133" s="27">
        <v>35</v>
      </c>
      <c r="C133" s="4" t="s">
        <v>73</v>
      </c>
      <c r="D133" s="27">
        <v>20</v>
      </c>
      <c r="E133" s="27">
        <v>0</v>
      </c>
      <c r="F133" s="27">
        <v>2</v>
      </c>
      <c r="G133" s="27">
        <v>17.161000000000001</v>
      </c>
      <c r="I133" s="3">
        <f t="shared" si="6"/>
        <v>11</v>
      </c>
      <c r="J133" s="27">
        <v>17.161000000000001</v>
      </c>
      <c r="K133" s="27">
        <v>20</v>
      </c>
    </row>
    <row r="134" spans="1:11" ht="30.75" thickBot="1" x14ac:dyDescent="0.3">
      <c r="A134" s="26">
        <v>45436.387071759258</v>
      </c>
      <c r="B134" s="27">
        <v>35</v>
      </c>
      <c r="C134" s="4" t="s">
        <v>73</v>
      </c>
      <c r="D134" s="27">
        <v>20</v>
      </c>
      <c r="E134" s="27">
        <v>0</v>
      </c>
      <c r="F134" s="27">
        <v>3</v>
      </c>
      <c r="G134" s="27">
        <v>16.841000000000001</v>
      </c>
      <c r="I134" s="3">
        <f t="shared" si="6"/>
        <v>12</v>
      </c>
      <c r="J134" s="27">
        <v>16.841000000000001</v>
      </c>
      <c r="K134" s="27">
        <v>20</v>
      </c>
    </row>
    <row r="135" spans="1:11" ht="30.75" thickBot="1" x14ac:dyDescent="0.3">
      <c r="A135" s="26">
        <v>45436.409895833334</v>
      </c>
      <c r="B135" s="27">
        <v>30</v>
      </c>
      <c r="C135" s="4" t="s">
        <v>74</v>
      </c>
      <c r="D135" s="27">
        <v>20</v>
      </c>
      <c r="E135" s="27">
        <v>0</v>
      </c>
      <c r="F135" s="27">
        <v>2</v>
      </c>
      <c r="G135" s="27">
        <v>23.177</v>
      </c>
      <c r="I135" s="3">
        <f t="shared" si="6"/>
        <v>13</v>
      </c>
      <c r="J135" s="27">
        <v>23.177</v>
      </c>
      <c r="K135" s="27">
        <v>20</v>
      </c>
    </row>
    <row r="136" spans="1:11" ht="30.75" thickBot="1" x14ac:dyDescent="0.3">
      <c r="A136" s="26">
        <v>45436.410219907404</v>
      </c>
      <c r="B136" s="27">
        <v>30</v>
      </c>
      <c r="C136" s="4" t="s">
        <v>74</v>
      </c>
      <c r="D136" s="27">
        <v>20</v>
      </c>
      <c r="E136" s="27">
        <v>0</v>
      </c>
      <c r="F136" s="27">
        <v>1</v>
      </c>
      <c r="G136" s="27">
        <v>22.504000000000001</v>
      </c>
      <c r="I136" s="3">
        <f t="shared" si="6"/>
        <v>14</v>
      </c>
      <c r="J136" s="27">
        <v>22.504000000000001</v>
      </c>
      <c r="K136" s="27">
        <v>20</v>
      </c>
    </row>
    <row r="137" spans="1:11" ht="30.75" thickBot="1" x14ac:dyDescent="0.3">
      <c r="A137" s="26">
        <v>45436.410543981481</v>
      </c>
      <c r="B137" s="27">
        <v>30</v>
      </c>
      <c r="C137" s="4" t="s">
        <v>74</v>
      </c>
      <c r="D137" s="27">
        <v>20</v>
      </c>
      <c r="E137" s="27">
        <v>0</v>
      </c>
      <c r="F137" s="27">
        <v>2</v>
      </c>
      <c r="G137" s="27">
        <v>23.736000000000001</v>
      </c>
      <c r="I137" s="3">
        <f t="shared" si="6"/>
        <v>15</v>
      </c>
      <c r="J137" s="27">
        <v>23.736000000000001</v>
      </c>
      <c r="K137" s="27">
        <v>20</v>
      </c>
    </row>
    <row r="138" spans="1:11" ht="30.75" thickBot="1" x14ac:dyDescent="0.3">
      <c r="A138" s="26">
        <v>45436.410868055558</v>
      </c>
      <c r="B138" s="27">
        <v>30</v>
      </c>
      <c r="C138" s="4" t="s">
        <v>74</v>
      </c>
      <c r="D138" s="27">
        <v>20</v>
      </c>
      <c r="E138" s="27">
        <v>0</v>
      </c>
      <c r="F138" s="27">
        <v>0</v>
      </c>
      <c r="G138" s="27">
        <v>22.373999999999999</v>
      </c>
      <c r="I138" s="3">
        <f t="shared" si="6"/>
        <v>16</v>
      </c>
      <c r="J138" s="27">
        <v>22.373999999999999</v>
      </c>
      <c r="K138" s="27">
        <v>20</v>
      </c>
    </row>
    <row r="139" spans="1:11" ht="30.75" thickBot="1" x14ac:dyDescent="0.3">
      <c r="A139" s="26">
        <v>45436.426122685189</v>
      </c>
      <c r="B139" s="27">
        <v>28</v>
      </c>
      <c r="C139" s="4" t="s">
        <v>75</v>
      </c>
      <c r="D139" s="27">
        <v>20</v>
      </c>
      <c r="E139" s="27">
        <v>0</v>
      </c>
      <c r="F139" s="27">
        <v>8</v>
      </c>
      <c r="G139" s="27">
        <v>25.829000000000001</v>
      </c>
      <c r="I139" s="3">
        <f t="shared" si="6"/>
        <v>17</v>
      </c>
      <c r="J139" s="27">
        <v>25.829000000000001</v>
      </c>
      <c r="K139" s="27">
        <v>20</v>
      </c>
    </row>
    <row r="140" spans="1:11" ht="30.75" thickBot="1" x14ac:dyDescent="0.3">
      <c r="A140" s="26">
        <v>45436.427291666667</v>
      </c>
      <c r="B140" s="27">
        <v>28</v>
      </c>
      <c r="C140" s="4" t="s">
        <v>76</v>
      </c>
      <c r="D140" s="27">
        <v>20</v>
      </c>
      <c r="E140" s="27">
        <v>0</v>
      </c>
      <c r="F140" s="27">
        <v>2</v>
      </c>
      <c r="G140" s="27">
        <v>19.457999999999998</v>
      </c>
      <c r="I140" s="3">
        <f t="shared" si="6"/>
        <v>18</v>
      </c>
      <c r="J140" s="27">
        <v>19.457999999999998</v>
      </c>
      <c r="K140" s="27">
        <v>20</v>
      </c>
    </row>
    <row r="141" spans="1:11" ht="30.75" thickBot="1" x14ac:dyDescent="0.3">
      <c r="A141" s="26">
        <v>45436.427800925929</v>
      </c>
      <c r="B141" s="27">
        <v>28</v>
      </c>
      <c r="C141" s="4" t="s">
        <v>76</v>
      </c>
      <c r="D141" s="27">
        <v>20</v>
      </c>
      <c r="E141" s="27">
        <v>0</v>
      </c>
      <c r="F141" s="27">
        <v>1</v>
      </c>
      <c r="G141" s="27">
        <v>18.731999999999999</v>
      </c>
      <c r="I141" s="3">
        <f t="shared" si="6"/>
        <v>19</v>
      </c>
      <c r="J141" s="27">
        <v>18.731999999999999</v>
      </c>
      <c r="K141" s="27">
        <v>20</v>
      </c>
    </row>
    <row r="142" spans="1:11" ht="30.75" thickBot="1" x14ac:dyDescent="0.3">
      <c r="A142" s="26">
        <v>45436.427986111114</v>
      </c>
      <c r="B142" s="27">
        <v>29</v>
      </c>
      <c r="C142" s="4" t="s">
        <v>77</v>
      </c>
      <c r="D142" s="27">
        <v>20</v>
      </c>
      <c r="E142" s="27">
        <v>0</v>
      </c>
      <c r="F142" s="27">
        <v>2</v>
      </c>
      <c r="G142" s="27">
        <v>22.282</v>
      </c>
      <c r="I142" s="3">
        <f t="shared" si="6"/>
        <v>20</v>
      </c>
      <c r="J142" s="27">
        <v>22.282</v>
      </c>
      <c r="K142" s="27">
        <v>20</v>
      </c>
    </row>
    <row r="143" spans="1:11" ht="30.75" thickBot="1" x14ac:dyDescent="0.3">
      <c r="A143" s="26">
        <v>45436.428287037037</v>
      </c>
      <c r="B143" s="27">
        <v>30</v>
      </c>
      <c r="C143" s="4" t="s">
        <v>78</v>
      </c>
      <c r="D143" s="27">
        <v>20</v>
      </c>
      <c r="E143" s="27">
        <v>0</v>
      </c>
      <c r="F143" s="27">
        <v>1</v>
      </c>
      <c r="G143" s="27">
        <v>18.861999999999998</v>
      </c>
      <c r="I143" s="3">
        <f t="shared" si="6"/>
        <v>21</v>
      </c>
      <c r="J143" s="27">
        <v>18.861999999999998</v>
      </c>
      <c r="K143" s="27">
        <v>20</v>
      </c>
    </row>
    <row r="144" spans="1:11" ht="30.75" thickBot="1" x14ac:dyDescent="0.3">
      <c r="A144" s="26">
        <v>45436.42832175926</v>
      </c>
      <c r="B144" s="27">
        <v>29</v>
      </c>
      <c r="C144" s="4" t="s">
        <v>77</v>
      </c>
      <c r="D144" s="27">
        <v>20</v>
      </c>
      <c r="E144" s="27">
        <v>0</v>
      </c>
      <c r="F144" s="27">
        <v>0</v>
      </c>
      <c r="G144" s="27">
        <v>20.347000000000001</v>
      </c>
      <c r="I144" s="3">
        <f t="shared" si="6"/>
        <v>22</v>
      </c>
      <c r="J144" s="27">
        <v>20.347000000000001</v>
      </c>
      <c r="K144" s="27">
        <v>20</v>
      </c>
    </row>
    <row r="145" spans="1:11" ht="30.75" thickBot="1" x14ac:dyDescent="0.3">
      <c r="A145" s="26">
        <v>45436.428553240738</v>
      </c>
      <c r="B145" s="27">
        <v>30</v>
      </c>
      <c r="C145" s="4" t="s">
        <v>78</v>
      </c>
      <c r="D145" s="27">
        <v>20</v>
      </c>
      <c r="E145" s="27">
        <v>0</v>
      </c>
      <c r="F145" s="27">
        <v>1</v>
      </c>
      <c r="G145" s="27">
        <v>18.628</v>
      </c>
      <c r="I145" s="3">
        <f t="shared" si="6"/>
        <v>23</v>
      </c>
      <c r="J145" s="27">
        <v>18.628</v>
      </c>
      <c r="K145" s="27">
        <v>20</v>
      </c>
    </row>
    <row r="146" spans="1:11" ht="30.75" thickBot="1" x14ac:dyDescent="0.3">
      <c r="A146" s="26">
        <v>45436.428726851853</v>
      </c>
      <c r="B146" s="27">
        <v>30</v>
      </c>
      <c r="C146" s="4" t="s">
        <v>79</v>
      </c>
      <c r="D146" s="27">
        <v>20</v>
      </c>
      <c r="E146" s="27">
        <v>0</v>
      </c>
      <c r="F146" s="27">
        <v>3</v>
      </c>
      <c r="G146" s="27">
        <v>21.157</v>
      </c>
      <c r="I146" s="3">
        <f t="shared" si="6"/>
        <v>24</v>
      </c>
      <c r="J146" s="27">
        <v>21.157</v>
      </c>
      <c r="K146" s="27">
        <v>20</v>
      </c>
    </row>
    <row r="147" spans="1:11" ht="30.75" thickBot="1" x14ac:dyDescent="0.3">
      <c r="A147" s="26">
        <v>45436.428842592592</v>
      </c>
      <c r="B147" s="27">
        <v>30</v>
      </c>
      <c r="C147" s="4" t="s">
        <v>78</v>
      </c>
      <c r="D147" s="27">
        <v>20</v>
      </c>
      <c r="E147" s="27">
        <v>0</v>
      </c>
      <c r="F147" s="27">
        <v>2</v>
      </c>
      <c r="G147" s="27">
        <v>18.225999999999999</v>
      </c>
      <c r="I147" s="3">
        <f t="shared" si="6"/>
        <v>25</v>
      </c>
      <c r="J147" s="27">
        <v>18.225999999999999</v>
      </c>
      <c r="K147" s="27">
        <v>20</v>
      </c>
    </row>
    <row r="148" spans="1:11" ht="30.75" thickBot="1" x14ac:dyDescent="0.3">
      <c r="A148" s="26">
        <v>45436.428888888891</v>
      </c>
      <c r="B148" s="27">
        <v>28</v>
      </c>
      <c r="C148" s="4" t="s">
        <v>80</v>
      </c>
      <c r="D148" s="27">
        <v>20</v>
      </c>
      <c r="E148" s="27">
        <v>0</v>
      </c>
      <c r="F148" s="27">
        <v>0</v>
      </c>
      <c r="G148" s="27">
        <v>18.395</v>
      </c>
      <c r="I148" s="3">
        <f t="shared" si="6"/>
        <v>26</v>
      </c>
      <c r="J148" s="27">
        <v>18.395</v>
      </c>
      <c r="K148" s="27">
        <v>20</v>
      </c>
    </row>
    <row r="149" spans="1:11" ht="30.75" thickBot="1" x14ac:dyDescent="0.3">
      <c r="A149" s="26">
        <v>45436.429097222222</v>
      </c>
      <c r="B149" s="27">
        <v>30</v>
      </c>
      <c r="C149" s="4" t="s">
        <v>79</v>
      </c>
      <c r="D149" s="27">
        <v>20</v>
      </c>
      <c r="E149" s="27">
        <v>0</v>
      </c>
      <c r="F149" s="27">
        <v>7</v>
      </c>
      <c r="G149" s="27">
        <v>24.035</v>
      </c>
      <c r="I149" s="3">
        <f t="shared" si="6"/>
        <v>27</v>
      </c>
      <c r="J149" s="27">
        <v>24.035</v>
      </c>
      <c r="K149" s="27">
        <v>20</v>
      </c>
    </row>
    <row r="150" spans="1:11" ht="30.75" thickBot="1" x14ac:dyDescent="0.3">
      <c r="A150" s="26">
        <v>45436.429236111115</v>
      </c>
      <c r="B150" s="27">
        <v>30</v>
      </c>
      <c r="C150" s="4" t="s">
        <v>81</v>
      </c>
      <c r="D150" s="27">
        <v>20</v>
      </c>
      <c r="E150" s="27">
        <v>0</v>
      </c>
      <c r="F150" s="27">
        <v>3</v>
      </c>
      <c r="G150" s="27">
        <v>18.968</v>
      </c>
      <c r="I150" s="3">
        <f t="shared" si="6"/>
        <v>28</v>
      </c>
      <c r="J150" s="27">
        <v>18.968</v>
      </c>
      <c r="K150" s="27">
        <v>20</v>
      </c>
    </row>
    <row r="151" spans="1:11" ht="30.75" thickBot="1" x14ac:dyDescent="0.3">
      <c r="A151" s="26">
        <v>45436.429409722223</v>
      </c>
      <c r="B151" s="27">
        <v>30</v>
      </c>
      <c r="C151" s="4" t="s">
        <v>79</v>
      </c>
      <c r="D151" s="27">
        <v>20</v>
      </c>
      <c r="E151" s="27">
        <v>0</v>
      </c>
      <c r="F151" s="27">
        <v>4</v>
      </c>
      <c r="G151" s="27">
        <v>26.077999999999999</v>
      </c>
      <c r="I151" s="3">
        <f t="shared" si="6"/>
        <v>29</v>
      </c>
      <c r="J151" s="27">
        <v>26.077999999999999</v>
      </c>
      <c r="K151" s="27">
        <v>20</v>
      </c>
    </row>
    <row r="152" spans="1:11" ht="30.75" thickBot="1" x14ac:dyDescent="0.3">
      <c r="A152" s="26">
        <v>45436.429583333331</v>
      </c>
      <c r="B152" s="27">
        <v>30</v>
      </c>
      <c r="C152" s="4" t="s">
        <v>81</v>
      </c>
      <c r="D152" s="27">
        <v>20</v>
      </c>
      <c r="E152" s="27">
        <v>0</v>
      </c>
      <c r="F152" s="27">
        <v>0</v>
      </c>
      <c r="G152" s="27">
        <v>19.515000000000001</v>
      </c>
      <c r="I152" s="3">
        <f t="shared" si="6"/>
        <v>30</v>
      </c>
      <c r="J152" s="27">
        <v>19.515000000000001</v>
      </c>
      <c r="K152" s="27">
        <v>20</v>
      </c>
    </row>
    <row r="153" spans="1:11" ht="30.75" thickBot="1" x14ac:dyDescent="0.3">
      <c r="A153" s="26">
        <v>45436.430034722223</v>
      </c>
      <c r="B153" s="27">
        <v>30</v>
      </c>
      <c r="C153" s="4" t="s">
        <v>79</v>
      </c>
      <c r="D153" s="27">
        <v>20</v>
      </c>
      <c r="E153" s="27">
        <v>0</v>
      </c>
      <c r="F153" s="27">
        <v>4</v>
      </c>
      <c r="G153" s="27">
        <v>20.361999999999998</v>
      </c>
      <c r="I153" s="3">
        <f t="shared" si="6"/>
        <v>31</v>
      </c>
      <c r="J153" s="27">
        <v>20.361999999999998</v>
      </c>
      <c r="K153" s="27">
        <v>20</v>
      </c>
    </row>
    <row r="154" spans="1:11" ht="30.75" thickBot="1" x14ac:dyDescent="0.3">
      <c r="A154" s="26">
        <v>45436.430196759262</v>
      </c>
      <c r="B154" s="27">
        <v>19</v>
      </c>
      <c r="C154" s="4" t="s">
        <v>82</v>
      </c>
      <c r="D154" s="27">
        <v>20</v>
      </c>
      <c r="E154" s="27">
        <v>0</v>
      </c>
      <c r="F154" s="27">
        <v>0</v>
      </c>
      <c r="G154" s="27">
        <v>19.722999999999999</v>
      </c>
      <c r="I154" s="3">
        <f t="shared" si="6"/>
        <v>32</v>
      </c>
      <c r="J154" s="27">
        <v>19.722999999999999</v>
      </c>
      <c r="K154" s="27">
        <v>20</v>
      </c>
    </row>
    <row r="155" spans="1:11" ht="30.75" thickBot="1" x14ac:dyDescent="0.3">
      <c r="A155" s="26">
        <v>45436.430381944447</v>
      </c>
      <c r="B155" s="27">
        <v>30</v>
      </c>
      <c r="C155" s="4" t="s">
        <v>79</v>
      </c>
      <c r="D155" s="27">
        <v>20</v>
      </c>
      <c r="E155" s="27">
        <v>0</v>
      </c>
      <c r="F155" s="27">
        <v>0</v>
      </c>
      <c r="G155" s="27">
        <v>18.79</v>
      </c>
      <c r="I155" s="3">
        <f t="shared" si="6"/>
        <v>33</v>
      </c>
      <c r="J155" s="27">
        <v>18.79</v>
      </c>
      <c r="K155" s="27">
        <v>20</v>
      </c>
    </row>
    <row r="156" spans="1:11" ht="30.75" thickBot="1" x14ac:dyDescent="0.3">
      <c r="A156" s="26">
        <v>45436.43041666667</v>
      </c>
      <c r="B156" s="27">
        <v>35</v>
      </c>
      <c r="C156" s="4" t="s">
        <v>83</v>
      </c>
      <c r="D156" s="27">
        <v>20</v>
      </c>
      <c r="E156" s="27">
        <v>0</v>
      </c>
      <c r="F156" s="27">
        <v>7</v>
      </c>
      <c r="G156" s="27">
        <v>20.818000000000001</v>
      </c>
      <c r="I156" s="3">
        <f t="shared" si="6"/>
        <v>34</v>
      </c>
      <c r="J156" s="27">
        <v>20.818000000000001</v>
      </c>
      <c r="K156" s="27">
        <v>20</v>
      </c>
    </row>
    <row r="157" spans="1:11" ht="30.75" thickBot="1" x14ac:dyDescent="0.3">
      <c r="A157" s="26">
        <v>45436.430497685185</v>
      </c>
      <c r="B157" s="27">
        <v>30</v>
      </c>
      <c r="C157" s="4" t="s">
        <v>84</v>
      </c>
      <c r="D157" s="27">
        <v>20</v>
      </c>
      <c r="E157" s="27">
        <v>0</v>
      </c>
      <c r="F157" s="27">
        <v>4</v>
      </c>
      <c r="G157" s="27">
        <v>18.263999999999999</v>
      </c>
      <c r="I157" s="3">
        <f t="shared" si="6"/>
        <v>35</v>
      </c>
      <c r="J157" s="27">
        <v>18.263999999999999</v>
      </c>
      <c r="K157" s="27">
        <v>20</v>
      </c>
    </row>
    <row r="158" spans="1:11" ht="30.75" thickBot="1" x14ac:dyDescent="0.3">
      <c r="A158" s="26">
        <v>45436.430706018517</v>
      </c>
      <c r="B158" s="27">
        <v>35</v>
      </c>
      <c r="C158" s="4" t="s">
        <v>83</v>
      </c>
      <c r="D158" s="27">
        <v>20</v>
      </c>
      <c r="E158" s="27">
        <v>0</v>
      </c>
      <c r="F158" s="27">
        <v>5</v>
      </c>
      <c r="G158" s="27">
        <v>19.638000000000002</v>
      </c>
      <c r="I158" s="3">
        <f t="shared" si="6"/>
        <v>36</v>
      </c>
      <c r="J158" s="27">
        <v>19.638000000000002</v>
      </c>
      <c r="K158" s="27">
        <v>20</v>
      </c>
    </row>
    <row r="159" spans="1:11" ht="30.75" thickBot="1" x14ac:dyDescent="0.3">
      <c r="A159" s="26">
        <v>45436.430879629632</v>
      </c>
      <c r="B159" s="27">
        <v>30</v>
      </c>
      <c r="C159" s="4" t="s">
        <v>79</v>
      </c>
      <c r="D159" s="27">
        <v>20</v>
      </c>
      <c r="E159" s="27">
        <v>0</v>
      </c>
      <c r="F159" s="27">
        <v>0</v>
      </c>
      <c r="G159" s="27">
        <v>17.806000000000001</v>
      </c>
      <c r="I159" s="3">
        <f t="shared" si="6"/>
        <v>37</v>
      </c>
      <c r="J159" s="27">
        <v>17.806000000000001</v>
      </c>
      <c r="K159" s="27">
        <v>20</v>
      </c>
    </row>
    <row r="160" spans="1:11" ht="30.75" thickBot="1" x14ac:dyDescent="0.3">
      <c r="A160" s="26">
        <v>45436.430995370371</v>
      </c>
      <c r="B160" s="27">
        <v>35</v>
      </c>
      <c r="C160" s="4" t="s">
        <v>83</v>
      </c>
      <c r="D160" s="27">
        <v>20</v>
      </c>
      <c r="E160" s="27">
        <v>0</v>
      </c>
      <c r="F160" s="27">
        <v>4</v>
      </c>
      <c r="G160" s="27">
        <v>20.646999999999998</v>
      </c>
      <c r="I160" s="3">
        <f t="shared" si="6"/>
        <v>38</v>
      </c>
      <c r="J160" s="27">
        <v>20.646999999999998</v>
      </c>
      <c r="K160" s="27">
        <v>20</v>
      </c>
    </row>
    <row r="161" spans="1:11" ht="30.75" thickBot="1" x14ac:dyDescent="0.3">
      <c r="A161" s="26">
        <v>45436.431180555555</v>
      </c>
      <c r="B161" s="27">
        <v>29</v>
      </c>
      <c r="C161" s="4" t="s">
        <v>85</v>
      </c>
      <c r="D161" s="27">
        <v>20</v>
      </c>
      <c r="E161" s="27">
        <v>0</v>
      </c>
      <c r="F161" s="27">
        <v>0</v>
      </c>
      <c r="G161" s="27">
        <v>20.347000000000001</v>
      </c>
      <c r="I161" s="3">
        <f t="shared" si="6"/>
        <v>39</v>
      </c>
      <c r="J161" s="27">
        <v>20.347000000000001</v>
      </c>
      <c r="K161" s="27">
        <v>20</v>
      </c>
    </row>
    <row r="162" spans="1:11" ht="30.75" thickBot="1" x14ac:dyDescent="0.3">
      <c r="A162" s="26">
        <v>45436.43141203704</v>
      </c>
      <c r="B162" s="27">
        <v>30</v>
      </c>
      <c r="C162" s="4" t="s">
        <v>86</v>
      </c>
      <c r="D162" s="27">
        <v>20</v>
      </c>
      <c r="E162" s="27">
        <v>0</v>
      </c>
      <c r="F162" s="27">
        <v>1</v>
      </c>
      <c r="G162" s="27">
        <v>19.917999999999999</v>
      </c>
      <c r="I162" s="3">
        <f t="shared" si="6"/>
        <v>40</v>
      </c>
      <c r="J162" s="27">
        <v>19.917999999999999</v>
      </c>
      <c r="K162" s="27">
        <v>20</v>
      </c>
    </row>
    <row r="163" spans="1:11" ht="30.75" thickBot="1" x14ac:dyDescent="0.3">
      <c r="A163" s="26">
        <v>45436.431747685187</v>
      </c>
      <c r="B163" s="27">
        <v>30</v>
      </c>
      <c r="C163" s="4" t="s">
        <v>87</v>
      </c>
      <c r="D163" s="27">
        <v>20</v>
      </c>
      <c r="E163" s="27">
        <v>0</v>
      </c>
      <c r="F163" s="27">
        <v>2</v>
      </c>
      <c r="G163" s="27">
        <v>19.041</v>
      </c>
      <c r="I163" s="3">
        <f t="shared" si="6"/>
        <v>41</v>
      </c>
      <c r="J163" s="27">
        <v>19.041</v>
      </c>
      <c r="K163" s="27">
        <v>20</v>
      </c>
    </row>
    <row r="164" spans="1:11" ht="30.75" thickBot="1" x14ac:dyDescent="0.3">
      <c r="A164" s="26">
        <v>45436.432314814818</v>
      </c>
      <c r="B164" s="27">
        <v>30</v>
      </c>
      <c r="C164" s="4" t="s">
        <v>88</v>
      </c>
      <c r="D164" s="27">
        <v>20</v>
      </c>
      <c r="E164" s="27">
        <v>0</v>
      </c>
      <c r="F164" s="27">
        <v>1</v>
      </c>
      <c r="G164" s="27">
        <v>21.471</v>
      </c>
      <c r="I164" s="3">
        <f t="shared" si="6"/>
        <v>42</v>
      </c>
      <c r="J164" s="27">
        <v>21.471</v>
      </c>
      <c r="K164" s="27">
        <v>20</v>
      </c>
    </row>
    <row r="165" spans="1:11" ht="30.75" thickBot="1" x14ac:dyDescent="0.3">
      <c r="A165" s="26">
        <v>45436.433333333334</v>
      </c>
      <c r="B165" s="27">
        <v>30</v>
      </c>
      <c r="C165" s="4" t="s">
        <v>90</v>
      </c>
      <c r="D165" s="27">
        <v>20</v>
      </c>
      <c r="E165" s="27">
        <v>0</v>
      </c>
      <c r="F165" s="27">
        <v>0</v>
      </c>
      <c r="G165" s="27">
        <v>18.311</v>
      </c>
      <c r="I165" s="3">
        <f t="shared" si="6"/>
        <v>43</v>
      </c>
      <c r="J165" s="27">
        <v>18.311</v>
      </c>
      <c r="K165" s="27">
        <v>20</v>
      </c>
    </row>
    <row r="166" spans="1:11" ht="30.75" thickBot="1" x14ac:dyDescent="0.3">
      <c r="A166" s="26">
        <v>45436.43414351852</v>
      </c>
      <c r="B166" s="27">
        <v>30</v>
      </c>
      <c r="C166" s="4" t="s">
        <v>91</v>
      </c>
      <c r="D166" s="27">
        <v>20</v>
      </c>
      <c r="E166" s="27">
        <v>0</v>
      </c>
      <c r="F166" s="27">
        <v>2</v>
      </c>
      <c r="G166" s="27">
        <v>17.942</v>
      </c>
      <c r="I166" s="3">
        <f t="shared" si="6"/>
        <v>44</v>
      </c>
      <c r="J166" s="27">
        <v>17.942</v>
      </c>
      <c r="K166" s="27">
        <v>20</v>
      </c>
    </row>
    <row r="167" spans="1:11" ht="30.75" thickBot="1" x14ac:dyDescent="0.3">
      <c r="A167" s="26">
        <v>45436.434953703705</v>
      </c>
      <c r="B167" s="27">
        <v>99</v>
      </c>
      <c r="C167" s="4" t="s">
        <v>92</v>
      </c>
      <c r="D167" s="27">
        <v>20</v>
      </c>
      <c r="E167" s="27">
        <v>0</v>
      </c>
      <c r="F167" s="27">
        <v>3</v>
      </c>
      <c r="G167" s="27">
        <v>18.77</v>
      </c>
      <c r="I167" s="3">
        <f t="shared" si="6"/>
        <v>45</v>
      </c>
      <c r="J167" s="27">
        <v>18.77</v>
      </c>
      <c r="K167" s="27">
        <v>20</v>
      </c>
    </row>
    <row r="168" spans="1:11" ht="30.75" thickBot="1" x14ac:dyDescent="0.3">
      <c r="A168" s="26">
        <v>45436.435300925928</v>
      </c>
      <c r="B168" s="27">
        <v>99</v>
      </c>
      <c r="C168" s="4" t="s">
        <v>92</v>
      </c>
      <c r="D168" s="27">
        <v>20</v>
      </c>
      <c r="E168" s="27">
        <v>0</v>
      </c>
      <c r="F168" s="27">
        <v>2</v>
      </c>
      <c r="G168" s="27">
        <v>16.390999999999998</v>
      </c>
      <c r="I168" s="3">
        <f t="shared" si="6"/>
        <v>46</v>
      </c>
      <c r="J168" s="27">
        <v>16.390999999999998</v>
      </c>
      <c r="K168" s="27">
        <v>20</v>
      </c>
    </row>
    <row r="169" spans="1:11" ht="30.75" thickBot="1" x14ac:dyDescent="0.3">
      <c r="A169" s="26">
        <v>45436.435798611114</v>
      </c>
      <c r="B169" s="27">
        <v>30</v>
      </c>
      <c r="C169" s="4" t="s">
        <v>93</v>
      </c>
      <c r="D169" s="27">
        <v>20</v>
      </c>
      <c r="E169" s="27">
        <v>0</v>
      </c>
      <c r="F169" s="27">
        <v>3</v>
      </c>
      <c r="G169" s="27">
        <v>17.952999999999999</v>
      </c>
      <c r="I169" s="3">
        <f t="shared" si="6"/>
        <v>47</v>
      </c>
      <c r="J169" s="27">
        <v>17.952999999999999</v>
      </c>
      <c r="K169" s="27">
        <v>20</v>
      </c>
    </row>
    <row r="170" spans="1:11" ht="30.75" thickBot="1" x14ac:dyDescent="0.3">
      <c r="A170" s="26">
        <v>45436.435949074075</v>
      </c>
      <c r="B170" s="27">
        <v>150</v>
      </c>
      <c r="C170" s="4" t="s">
        <v>94</v>
      </c>
      <c r="D170" s="27">
        <v>20</v>
      </c>
      <c r="E170" s="27">
        <v>0</v>
      </c>
      <c r="F170" s="27">
        <v>8</v>
      </c>
      <c r="G170" s="27">
        <v>23.640999999999998</v>
      </c>
      <c r="I170" s="3">
        <f t="shared" si="6"/>
        <v>48</v>
      </c>
      <c r="J170" s="27">
        <v>23.640999999999998</v>
      </c>
      <c r="K170" s="27">
        <v>20</v>
      </c>
    </row>
    <row r="171" spans="1:11" ht="30.75" thickBot="1" x14ac:dyDescent="0.3">
      <c r="A171" s="26">
        <v>45436.436215277776</v>
      </c>
      <c r="B171" s="27">
        <v>30</v>
      </c>
      <c r="C171" s="4" t="s">
        <v>95</v>
      </c>
      <c r="D171" s="27">
        <v>20</v>
      </c>
      <c r="E171" s="27">
        <v>0</v>
      </c>
      <c r="F171" s="27">
        <v>2</v>
      </c>
      <c r="G171" s="27">
        <v>18.946999999999999</v>
      </c>
      <c r="I171" s="3">
        <f t="shared" si="6"/>
        <v>49</v>
      </c>
      <c r="J171" s="27">
        <v>18.946999999999999</v>
      </c>
      <c r="K171" s="27">
        <v>20</v>
      </c>
    </row>
    <row r="172" spans="1:11" ht="30.75" thickBot="1" x14ac:dyDescent="0.3">
      <c r="A172" s="26">
        <v>45436.43650462963</v>
      </c>
      <c r="B172" s="27">
        <v>30</v>
      </c>
      <c r="C172" s="4" t="s">
        <v>96</v>
      </c>
      <c r="D172" s="27">
        <v>20</v>
      </c>
      <c r="E172" s="27">
        <v>0</v>
      </c>
      <c r="F172" s="27">
        <v>3</v>
      </c>
      <c r="G172" s="27">
        <v>18.283999999999999</v>
      </c>
      <c r="I172" s="3">
        <f t="shared" si="6"/>
        <v>50</v>
      </c>
      <c r="J172" s="27">
        <v>18.283999999999999</v>
      </c>
      <c r="K172" s="27">
        <v>20</v>
      </c>
    </row>
    <row r="173" spans="1:11" ht="30.75" thickBot="1" x14ac:dyDescent="0.3">
      <c r="A173" s="26">
        <v>45436.438101851854</v>
      </c>
      <c r="B173" s="27">
        <v>30</v>
      </c>
      <c r="C173" s="4" t="s">
        <v>97</v>
      </c>
      <c r="D173" s="27">
        <v>20</v>
      </c>
      <c r="E173" s="27">
        <v>0</v>
      </c>
      <c r="F173" s="27">
        <v>1</v>
      </c>
      <c r="G173" s="27">
        <v>16.696999999999999</v>
      </c>
      <c r="I173" s="3">
        <f t="shared" si="6"/>
        <v>51</v>
      </c>
      <c r="J173" s="27">
        <v>16.696999999999999</v>
      </c>
      <c r="K173" s="27">
        <v>20</v>
      </c>
    </row>
    <row r="174" spans="1:11" ht="30.75" thickBot="1" x14ac:dyDescent="0.3">
      <c r="A174" s="26">
        <v>45436.438645833332</v>
      </c>
      <c r="B174" s="27">
        <v>30</v>
      </c>
      <c r="C174" s="4" t="s">
        <v>98</v>
      </c>
      <c r="D174" s="27">
        <v>20</v>
      </c>
      <c r="E174" s="27">
        <v>0</v>
      </c>
      <c r="F174" s="27">
        <v>3</v>
      </c>
      <c r="G174" s="27">
        <v>18.988</v>
      </c>
      <c r="I174" s="3">
        <f t="shared" si="6"/>
        <v>52</v>
      </c>
      <c r="J174" s="27">
        <v>18.988</v>
      </c>
      <c r="K174" s="27">
        <v>20</v>
      </c>
    </row>
    <row r="175" spans="1:11" ht="30.75" thickBot="1" x14ac:dyDescent="0.3">
      <c r="A175" s="26">
        <v>45436.439270833333</v>
      </c>
      <c r="B175" s="27">
        <v>30</v>
      </c>
      <c r="C175" s="4" t="s">
        <v>99</v>
      </c>
      <c r="D175" s="27">
        <v>20</v>
      </c>
      <c r="E175" s="27">
        <v>0</v>
      </c>
      <c r="F175" s="27">
        <v>5</v>
      </c>
      <c r="G175" s="27">
        <v>19.937000000000001</v>
      </c>
      <c r="I175" s="3">
        <f t="shared" si="6"/>
        <v>53</v>
      </c>
      <c r="J175" s="27">
        <v>19.937000000000001</v>
      </c>
      <c r="K175" s="27">
        <v>20</v>
      </c>
    </row>
    <row r="176" spans="1:11" ht="30.75" thickBot="1" x14ac:dyDescent="0.3">
      <c r="A176" s="26">
        <v>45436.452013888891</v>
      </c>
      <c r="B176" s="27">
        <v>27</v>
      </c>
      <c r="C176" s="4" t="s">
        <v>100</v>
      </c>
      <c r="D176" s="27">
        <v>20</v>
      </c>
      <c r="E176" s="27">
        <v>0</v>
      </c>
      <c r="F176" s="27">
        <v>2</v>
      </c>
      <c r="G176" s="27">
        <v>25.763000000000002</v>
      </c>
      <c r="I176" s="3">
        <f t="shared" si="6"/>
        <v>54</v>
      </c>
      <c r="J176" s="27">
        <v>25.763000000000002</v>
      </c>
      <c r="K176" s="27">
        <v>20</v>
      </c>
    </row>
    <row r="177" spans="1:11" ht="30.75" thickBot="1" x14ac:dyDescent="0.3">
      <c r="A177" s="26">
        <v>45436.459629629629</v>
      </c>
      <c r="B177" s="27">
        <v>28</v>
      </c>
      <c r="C177" s="4" t="s">
        <v>101</v>
      </c>
      <c r="D177" s="27">
        <v>20</v>
      </c>
      <c r="E177" s="27">
        <v>0</v>
      </c>
      <c r="F177" s="27">
        <v>0</v>
      </c>
      <c r="G177" s="27">
        <v>22.898</v>
      </c>
      <c r="I177" s="3">
        <f t="shared" si="6"/>
        <v>55</v>
      </c>
      <c r="J177" s="27">
        <v>22.898</v>
      </c>
      <c r="K177" s="27">
        <v>20</v>
      </c>
    </row>
    <row r="178" spans="1:11" ht="30.75" thickBot="1" x14ac:dyDescent="0.3">
      <c r="A178" s="26">
        <v>45436.460173611114</v>
      </c>
      <c r="B178" s="27">
        <v>28</v>
      </c>
      <c r="C178" s="4" t="s">
        <v>101</v>
      </c>
      <c r="D178" s="27">
        <v>20</v>
      </c>
      <c r="E178" s="27">
        <v>0</v>
      </c>
      <c r="F178" s="27">
        <v>0</v>
      </c>
      <c r="G178" s="27">
        <v>25.068000000000001</v>
      </c>
      <c r="I178" s="3">
        <f t="shared" si="6"/>
        <v>56</v>
      </c>
      <c r="J178" s="27">
        <v>25.068000000000001</v>
      </c>
      <c r="K178" s="27">
        <v>20</v>
      </c>
    </row>
    <row r="179" spans="1:11" ht="30.75" thickBot="1" x14ac:dyDescent="0.3">
      <c r="A179" s="26">
        <v>45436.581620370373</v>
      </c>
      <c r="B179" s="27">
        <v>20</v>
      </c>
      <c r="C179" s="4" t="s">
        <v>103</v>
      </c>
      <c r="D179" s="27">
        <v>20</v>
      </c>
      <c r="E179" s="27">
        <v>0</v>
      </c>
      <c r="F179" s="27">
        <v>4</v>
      </c>
      <c r="G179" s="27">
        <v>18.692</v>
      </c>
      <c r="I179" s="3">
        <f t="shared" si="6"/>
        <v>57</v>
      </c>
      <c r="J179" s="27">
        <v>18.692</v>
      </c>
      <c r="K179" s="27">
        <v>20</v>
      </c>
    </row>
    <row r="180" spans="1:11" ht="30.75" thickBot="1" x14ac:dyDescent="0.3">
      <c r="A180" s="26">
        <v>45436.581875000003</v>
      </c>
      <c r="B180" s="27">
        <v>20</v>
      </c>
      <c r="C180" s="4" t="s">
        <v>103</v>
      </c>
      <c r="D180" s="27">
        <v>20</v>
      </c>
      <c r="E180" s="27">
        <v>0</v>
      </c>
      <c r="F180" s="27">
        <v>2</v>
      </c>
      <c r="G180" s="27">
        <v>16.989000000000001</v>
      </c>
      <c r="I180" s="3">
        <f t="shared" si="6"/>
        <v>58</v>
      </c>
      <c r="J180" s="27">
        <v>16.989000000000001</v>
      </c>
      <c r="K180" s="27">
        <v>20</v>
      </c>
    </row>
    <row r="181" spans="1:11" ht="30.75" thickBot="1" x14ac:dyDescent="0.3">
      <c r="A181" s="26">
        <v>45436.581956018519</v>
      </c>
      <c r="B181" s="27">
        <v>20</v>
      </c>
      <c r="C181" s="4" t="s">
        <v>104</v>
      </c>
      <c r="D181" s="27">
        <v>20</v>
      </c>
      <c r="E181" s="27">
        <v>0</v>
      </c>
      <c r="F181" s="27">
        <v>1</v>
      </c>
      <c r="G181" s="27">
        <v>18.876999999999999</v>
      </c>
      <c r="I181" s="3">
        <f t="shared" si="6"/>
        <v>59</v>
      </c>
      <c r="J181" s="27">
        <v>18.876999999999999</v>
      </c>
      <c r="K181" s="27">
        <v>20</v>
      </c>
    </row>
    <row r="182" spans="1:11" ht="30.75" thickBot="1" x14ac:dyDescent="0.3">
      <c r="A182" s="26">
        <v>45436.582118055558</v>
      </c>
      <c r="B182" s="27">
        <v>20</v>
      </c>
      <c r="C182" s="4" t="s">
        <v>103</v>
      </c>
      <c r="D182" s="27">
        <v>20</v>
      </c>
      <c r="E182" s="27">
        <v>0</v>
      </c>
      <c r="F182" s="27">
        <v>3</v>
      </c>
      <c r="G182" s="27">
        <v>16.396999999999998</v>
      </c>
      <c r="I182" s="3">
        <f t="shared" si="6"/>
        <v>60</v>
      </c>
      <c r="J182" s="27">
        <v>16.396999999999998</v>
      </c>
      <c r="K182" s="27">
        <v>20</v>
      </c>
    </row>
    <row r="183" spans="1:11" ht="30.75" thickBot="1" x14ac:dyDescent="0.3">
      <c r="A183" s="26">
        <v>45436.582199074073</v>
      </c>
      <c r="B183" s="27">
        <v>21</v>
      </c>
      <c r="C183" s="4" t="s">
        <v>105</v>
      </c>
      <c r="D183" s="27">
        <v>20</v>
      </c>
      <c r="E183" s="27">
        <v>0</v>
      </c>
      <c r="F183" s="27">
        <v>1</v>
      </c>
      <c r="G183" s="27">
        <v>16.608000000000001</v>
      </c>
      <c r="I183" s="3">
        <f t="shared" si="6"/>
        <v>61</v>
      </c>
      <c r="J183" s="27">
        <v>16.608000000000001</v>
      </c>
      <c r="K183" s="27">
        <v>20</v>
      </c>
    </row>
    <row r="184" spans="1:11" ht="30.75" thickBot="1" x14ac:dyDescent="0.3">
      <c r="A184" s="26">
        <v>45436.582407407404</v>
      </c>
      <c r="B184" s="27">
        <v>20</v>
      </c>
      <c r="C184" s="4" t="s">
        <v>103</v>
      </c>
      <c r="D184" s="27">
        <v>20</v>
      </c>
      <c r="E184" s="27">
        <v>0</v>
      </c>
      <c r="F184" s="27">
        <v>1</v>
      </c>
      <c r="G184" s="27">
        <v>15.773999999999999</v>
      </c>
      <c r="I184" s="3">
        <f t="shared" si="6"/>
        <v>62</v>
      </c>
      <c r="J184" s="27">
        <v>15.773999999999999</v>
      </c>
      <c r="K184" s="27">
        <v>20</v>
      </c>
    </row>
    <row r="185" spans="1:11" ht="30.75" thickBot="1" x14ac:dyDescent="0.3">
      <c r="A185" s="26">
        <v>45436.582453703704</v>
      </c>
      <c r="B185" s="27">
        <v>20</v>
      </c>
      <c r="C185" s="4" t="s">
        <v>106</v>
      </c>
      <c r="D185" s="27">
        <v>20</v>
      </c>
      <c r="E185" s="27">
        <v>0</v>
      </c>
      <c r="F185" s="27">
        <v>3</v>
      </c>
      <c r="G185" s="27">
        <v>19.766999999999999</v>
      </c>
      <c r="I185" s="3">
        <f t="shared" si="6"/>
        <v>63</v>
      </c>
      <c r="J185" s="27">
        <v>19.766999999999999</v>
      </c>
      <c r="K185" s="27">
        <v>20</v>
      </c>
    </row>
    <row r="186" spans="1:11" ht="30.75" thickBot="1" x14ac:dyDescent="0.3">
      <c r="A186" s="26">
        <v>45436.582499999997</v>
      </c>
      <c r="B186" s="27">
        <v>19</v>
      </c>
      <c r="C186" s="4" t="s">
        <v>107</v>
      </c>
      <c r="D186" s="27">
        <v>20</v>
      </c>
      <c r="E186" s="27">
        <v>0</v>
      </c>
      <c r="F186" s="27">
        <v>1</v>
      </c>
      <c r="G186" s="27">
        <v>21.795999999999999</v>
      </c>
      <c r="I186" s="3">
        <f t="shared" si="6"/>
        <v>64</v>
      </c>
      <c r="J186" s="27">
        <v>21.795999999999999</v>
      </c>
      <c r="K186" s="27">
        <v>20</v>
      </c>
    </row>
    <row r="187" spans="1:11" ht="30.75" thickBot="1" x14ac:dyDescent="0.3">
      <c r="A187" s="26">
        <v>45436.58284722222</v>
      </c>
      <c r="B187" s="27">
        <v>21</v>
      </c>
      <c r="C187" s="4" t="s">
        <v>105</v>
      </c>
      <c r="D187" s="27">
        <v>20</v>
      </c>
      <c r="E187" s="27">
        <v>0</v>
      </c>
      <c r="F187" s="27">
        <v>3</v>
      </c>
      <c r="G187" s="27">
        <v>16.715</v>
      </c>
      <c r="I187" s="3">
        <f t="shared" si="6"/>
        <v>65</v>
      </c>
      <c r="J187" s="27">
        <v>16.715</v>
      </c>
      <c r="K187" s="27">
        <v>20</v>
      </c>
    </row>
    <row r="188" spans="1:11" ht="30.75" thickBot="1" x14ac:dyDescent="0.3">
      <c r="A188" s="26">
        <v>45436.582951388889</v>
      </c>
      <c r="B188" s="27">
        <v>20</v>
      </c>
      <c r="C188" s="4" t="s">
        <v>106</v>
      </c>
      <c r="D188" s="27">
        <v>20</v>
      </c>
      <c r="E188" s="27">
        <v>0</v>
      </c>
      <c r="F188" s="27">
        <v>3</v>
      </c>
      <c r="G188" s="27">
        <v>22.338999999999999</v>
      </c>
      <c r="I188" s="3">
        <f t="shared" si="6"/>
        <v>66</v>
      </c>
      <c r="J188" s="27">
        <v>22.338999999999999</v>
      </c>
      <c r="K188" s="27">
        <v>20</v>
      </c>
    </row>
    <row r="189" spans="1:11" ht="30.75" thickBot="1" x14ac:dyDescent="0.3">
      <c r="A189" s="26">
        <v>45436.583564814813</v>
      </c>
      <c r="B189" s="27">
        <v>20</v>
      </c>
      <c r="C189" s="4" t="s">
        <v>106</v>
      </c>
      <c r="D189" s="27">
        <v>20</v>
      </c>
      <c r="E189" s="27">
        <v>0</v>
      </c>
      <c r="F189" s="27">
        <v>3</v>
      </c>
      <c r="G189" s="27">
        <v>20.495000000000001</v>
      </c>
      <c r="I189" s="3">
        <f t="shared" ref="I189:I215" si="7">I188+1</f>
        <v>67</v>
      </c>
      <c r="J189" s="27">
        <v>20.495000000000001</v>
      </c>
      <c r="K189" s="27">
        <v>20</v>
      </c>
    </row>
    <row r="190" spans="1:11" ht="30.75" thickBot="1" x14ac:dyDescent="0.3">
      <c r="A190" s="26">
        <v>45436.583865740744</v>
      </c>
      <c r="B190" s="27">
        <v>19</v>
      </c>
      <c r="C190" s="4" t="s">
        <v>109</v>
      </c>
      <c r="D190" s="27">
        <v>20</v>
      </c>
      <c r="E190" s="27">
        <v>0</v>
      </c>
      <c r="F190" s="27">
        <v>0</v>
      </c>
      <c r="G190" s="27">
        <v>23.239000000000001</v>
      </c>
      <c r="I190" s="3">
        <f t="shared" si="7"/>
        <v>68</v>
      </c>
      <c r="J190" s="27">
        <v>23.239000000000001</v>
      </c>
      <c r="K190" s="27">
        <v>20</v>
      </c>
    </row>
    <row r="191" spans="1:11" ht="30.75" thickBot="1" x14ac:dyDescent="0.3">
      <c r="A191" s="26">
        <v>45436.584837962961</v>
      </c>
      <c r="B191" s="27">
        <v>20</v>
      </c>
      <c r="C191" s="4" t="s">
        <v>111</v>
      </c>
      <c r="D191" s="27">
        <v>20</v>
      </c>
      <c r="E191" s="27">
        <v>0</v>
      </c>
      <c r="F191" s="27">
        <v>2</v>
      </c>
      <c r="G191" s="27">
        <v>21.957999999999998</v>
      </c>
      <c r="I191" s="3">
        <f t="shared" si="7"/>
        <v>69</v>
      </c>
      <c r="J191" s="27">
        <v>21.957999999999998</v>
      </c>
      <c r="K191" s="27">
        <v>20</v>
      </c>
    </row>
    <row r="192" spans="1:11" ht="30.75" thickBot="1" x14ac:dyDescent="0.3">
      <c r="A192" s="26">
        <v>45436.587800925925</v>
      </c>
      <c r="B192" s="27">
        <v>37</v>
      </c>
      <c r="C192" s="4" t="s">
        <v>112</v>
      </c>
      <c r="D192" s="27">
        <v>20</v>
      </c>
      <c r="E192" s="27">
        <v>0</v>
      </c>
      <c r="F192" s="27">
        <v>3</v>
      </c>
      <c r="G192" s="27">
        <v>27.187000000000001</v>
      </c>
      <c r="I192" s="3">
        <f t="shared" si="7"/>
        <v>70</v>
      </c>
      <c r="J192" s="27">
        <v>27.187000000000001</v>
      </c>
      <c r="K192" s="27">
        <v>20</v>
      </c>
    </row>
    <row r="193" spans="1:11" ht="30.75" thickBot="1" x14ac:dyDescent="0.3">
      <c r="A193" s="26">
        <v>45436.59679398148</v>
      </c>
      <c r="B193" s="27">
        <v>19</v>
      </c>
      <c r="C193" s="4" t="s">
        <v>113</v>
      </c>
      <c r="D193" s="27">
        <v>20</v>
      </c>
      <c r="E193" s="27">
        <v>0</v>
      </c>
      <c r="F193" s="27">
        <v>2</v>
      </c>
      <c r="G193" s="27">
        <v>20.943000000000001</v>
      </c>
      <c r="I193" s="3">
        <f t="shared" si="7"/>
        <v>71</v>
      </c>
      <c r="J193" s="27">
        <v>20.943000000000001</v>
      </c>
      <c r="K193" s="27">
        <v>20</v>
      </c>
    </row>
    <row r="194" spans="1:11" ht="30.75" thickBot="1" x14ac:dyDescent="0.3">
      <c r="A194" s="26">
        <v>45436.597094907411</v>
      </c>
      <c r="B194" s="27">
        <v>22</v>
      </c>
      <c r="C194" s="4" t="s">
        <v>114</v>
      </c>
      <c r="D194" s="27">
        <v>20</v>
      </c>
      <c r="E194" s="27">
        <v>0</v>
      </c>
      <c r="F194" s="27">
        <v>2</v>
      </c>
      <c r="G194" s="27">
        <v>19.603999999999999</v>
      </c>
      <c r="I194" s="3">
        <f t="shared" si="7"/>
        <v>72</v>
      </c>
      <c r="J194" s="27">
        <v>19.603999999999999</v>
      </c>
      <c r="K194" s="27">
        <v>20</v>
      </c>
    </row>
    <row r="195" spans="1:11" ht="30.75" thickBot="1" x14ac:dyDescent="0.3">
      <c r="A195" s="26">
        <v>45436.597858796296</v>
      </c>
      <c r="B195" s="27">
        <v>20</v>
      </c>
      <c r="C195" s="4" t="s">
        <v>116</v>
      </c>
      <c r="D195" s="27">
        <v>20</v>
      </c>
      <c r="E195" s="27">
        <v>0</v>
      </c>
      <c r="F195" s="27">
        <v>4</v>
      </c>
      <c r="G195" s="27">
        <v>15.935</v>
      </c>
      <c r="I195" s="3">
        <f t="shared" si="7"/>
        <v>73</v>
      </c>
      <c r="J195" s="27">
        <v>15.935</v>
      </c>
      <c r="K195" s="27">
        <v>20</v>
      </c>
    </row>
    <row r="196" spans="1:11" ht="30.75" thickBot="1" x14ac:dyDescent="0.3">
      <c r="A196" s="26">
        <v>45436.599085648151</v>
      </c>
      <c r="B196" s="27">
        <v>19</v>
      </c>
      <c r="C196" s="4" t="s">
        <v>117</v>
      </c>
      <c r="D196" s="27">
        <v>20</v>
      </c>
      <c r="E196" s="27">
        <v>0</v>
      </c>
      <c r="F196" s="27">
        <v>4</v>
      </c>
      <c r="G196" s="27">
        <v>22.094999999999999</v>
      </c>
      <c r="I196" s="3">
        <f t="shared" si="7"/>
        <v>74</v>
      </c>
      <c r="J196" s="27">
        <v>22.094999999999999</v>
      </c>
      <c r="K196" s="27">
        <v>20</v>
      </c>
    </row>
    <row r="197" spans="1:11" ht="30.75" thickBot="1" x14ac:dyDescent="0.3">
      <c r="A197" s="26">
        <v>45437.520127314812</v>
      </c>
      <c r="B197" s="27">
        <v>14</v>
      </c>
      <c r="C197" s="4" t="s">
        <v>120</v>
      </c>
      <c r="D197" s="27">
        <v>20</v>
      </c>
      <c r="E197" s="27">
        <v>0</v>
      </c>
      <c r="F197" s="27">
        <v>4</v>
      </c>
      <c r="G197" s="27">
        <v>25.021999999999998</v>
      </c>
      <c r="I197" s="3">
        <f t="shared" si="7"/>
        <v>75</v>
      </c>
      <c r="J197" s="27">
        <v>25.021999999999998</v>
      </c>
      <c r="K197" s="27">
        <v>20</v>
      </c>
    </row>
    <row r="198" spans="1:11" ht="30.75" thickBot="1" x14ac:dyDescent="0.3">
      <c r="A198" s="26">
        <v>45441.693877314814</v>
      </c>
      <c r="B198" s="27">
        <v>36</v>
      </c>
      <c r="C198" s="4" t="s">
        <v>121</v>
      </c>
      <c r="D198" s="27">
        <v>20</v>
      </c>
      <c r="E198" s="27">
        <v>0</v>
      </c>
      <c r="F198" s="27">
        <v>1</v>
      </c>
      <c r="G198" s="27">
        <v>27.702999999999999</v>
      </c>
      <c r="I198" s="3">
        <f t="shared" si="7"/>
        <v>76</v>
      </c>
      <c r="J198" s="27">
        <v>27.702999999999999</v>
      </c>
      <c r="K198" s="27">
        <v>20</v>
      </c>
    </row>
    <row r="199" spans="1:11" ht="30.75" thickBot="1" x14ac:dyDescent="0.3">
      <c r="A199" s="26">
        <v>45441.694513888891</v>
      </c>
      <c r="B199" s="27">
        <v>36</v>
      </c>
      <c r="C199" s="4" t="s">
        <v>121</v>
      </c>
      <c r="D199" s="27">
        <v>20</v>
      </c>
      <c r="E199" s="27">
        <v>0</v>
      </c>
      <c r="F199" s="27">
        <v>2</v>
      </c>
      <c r="G199" s="27">
        <v>25.678000000000001</v>
      </c>
      <c r="I199" s="3">
        <f t="shared" si="7"/>
        <v>77</v>
      </c>
      <c r="J199" s="27">
        <v>25.678000000000001</v>
      </c>
      <c r="K199" s="27">
        <v>20</v>
      </c>
    </row>
    <row r="200" spans="1:11" ht="30.75" thickBot="1" x14ac:dyDescent="0.3">
      <c r="A200" s="26">
        <v>45441.694884259261</v>
      </c>
      <c r="B200" s="27">
        <v>36</v>
      </c>
      <c r="C200" s="4" t="s">
        <v>121</v>
      </c>
      <c r="D200" s="27">
        <v>20</v>
      </c>
      <c r="E200" s="27">
        <v>0</v>
      </c>
      <c r="F200" s="27">
        <v>2</v>
      </c>
      <c r="G200" s="27">
        <v>19.09</v>
      </c>
      <c r="I200" s="3">
        <f t="shared" si="7"/>
        <v>78</v>
      </c>
      <c r="J200" s="27">
        <v>19.09</v>
      </c>
      <c r="K200" s="27">
        <v>20</v>
      </c>
    </row>
    <row r="201" spans="1:11" ht="30.75" thickBot="1" x14ac:dyDescent="0.3">
      <c r="A201" s="26">
        <v>45441.735000000001</v>
      </c>
      <c r="B201" s="27">
        <v>7</v>
      </c>
      <c r="C201" s="4" t="s">
        <v>122</v>
      </c>
      <c r="D201" s="27">
        <v>20</v>
      </c>
      <c r="E201" s="27">
        <v>0</v>
      </c>
      <c r="F201" s="27">
        <v>1</v>
      </c>
      <c r="G201" s="27">
        <v>23.184000000000001</v>
      </c>
      <c r="I201" s="3">
        <f t="shared" si="7"/>
        <v>79</v>
      </c>
      <c r="J201" s="27">
        <v>23.184000000000001</v>
      </c>
      <c r="K201" s="27">
        <v>20</v>
      </c>
    </row>
    <row r="202" spans="1:11" ht="30.75" thickBot="1" x14ac:dyDescent="0.3">
      <c r="A202" s="26">
        <v>45443.040763888886</v>
      </c>
      <c r="B202" s="27">
        <v>19</v>
      </c>
      <c r="C202" s="4" t="s">
        <v>123</v>
      </c>
      <c r="D202" s="27">
        <v>20</v>
      </c>
      <c r="E202" s="27">
        <v>0</v>
      </c>
      <c r="F202" s="27">
        <v>0</v>
      </c>
      <c r="G202" s="27">
        <v>17.195</v>
      </c>
      <c r="I202" s="3">
        <f t="shared" si="7"/>
        <v>80</v>
      </c>
      <c r="J202" s="27">
        <v>17.195</v>
      </c>
      <c r="K202" s="27">
        <v>20</v>
      </c>
    </row>
    <row r="203" spans="1:11" ht="30.75" thickBot="1" x14ac:dyDescent="0.3">
      <c r="A203" s="26">
        <v>45443.041203703702</v>
      </c>
      <c r="B203" s="27">
        <v>19</v>
      </c>
      <c r="C203" s="4" t="s">
        <v>124</v>
      </c>
      <c r="D203" s="27">
        <v>20</v>
      </c>
      <c r="E203" s="27">
        <v>0</v>
      </c>
      <c r="F203" s="27">
        <v>1</v>
      </c>
      <c r="G203" s="27">
        <v>19.613</v>
      </c>
      <c r="I203" s="3">
        <f t="shared" si="7"/>
        <v>81</v>
      </c>
      <c r="J203" s="27">
        <v>19.613</v>
      </c>
      <c r="K203" s="27">
        <v>20</v>
      </c>
    </row>
    <row r="204" spans="1:11" ht="30.75" thickBot="1" x14ac:dyDescent="0.3">
      <c r="A204" s="26">
        <v>45443.718287037038</v>
      </c>
      <c r="B204" s="27">
        <v>19</v>
      </c>
      <c r="C204" s="4" t="s">
        <v>126</v>
      </c>
      <c r="D204" s="27">
        <v>20</v>
      </c>
      <c r="E204" s="27">
        <v>0</v>
      </c>
      <c r="F204" s="27">
        <v>0</v>
      </c>
      <c r="G204" s="27">
        <v>13.272</v>
      </c>
      <c r="I204" s="3">
        <f t="shared" si="7"/>
        <v>82</v>
      </c>
      <c r="J204" s="27">
        <v>13.272</v>
      </c>
      <c r="K204" s="27">
        <v>20</v>
      </c>
    </row>
    <row r="205" spans="1:11" ht="30.75" thickBot="1" x14ac:dyDescent="0.3">
      <c r="A205" s="26">
        <v>45443.718495370369</v>
      </c>
      <c r="B205" s="27">
        <v>19</v>
      </c>
      <c r="C205" s="4" t="s">
        <v>126</v>
      </c>
      <c r="D205" s="27">
        <v>20</v>
      </c>
      <c r="E205" s="27">
        <v>0</v>
      </c>
      <c r="F205" s="27">
        <v>0</v>
      </c>
      <c r="G205" s="27">
        <v>11.938000000000001</v>
      </c>
      <c r="I205" s="3">
        <f t="shared" si="7"/>
        <v>83</v>
      </c>
      <c r="J205" s="27">
        <v>11.938000000000001</v>
      </c>
      <c r="K205" s="27">
        <v>20</v>
      </c>
    </row>
    <row r="206" spans="1:11" ht="30.75" thickBot="1" x14ac:dyDescent="0.3">
      <c r="A206" s="26">
        <v>45443.7187037037</v>
      </c>
      <c r="B206" s="27">
        <v>19</v>
      </c>
      <c r="C206" s="4" t="s">
        <v>126</v>
      </c>
      <c r="D206" s="27">
        <v>20</v>
      </c>
      <c r="E206" s="27">
        <v>0</v>
      </c>
      <c r="F206" s="27">
        <v>0</v>
      </c>
      <c r="G206" s="27">
        <v>11.699</v>
      </c>
      <c r="I206" s="3">
        <f t="shared" si="7"/>
        <v>84</v>
      </c>
      <c r="J206" s="27">
        <v>11.699</v>
      </c>
      <c r="K206" s="27">
        <v>20</v>
      </c>
    </row>
    <row r="207" spans="1:11" ht="30.75" thickBot="1" x14ac:dyDescent="0.3">
      <c r="A207" s="26">
        <v>45443.718877314815</v>
      </c>
      <c r="B207" s="27">
        <v>19</v>
      </c>
      <c r="C207" s="4" t="s">
        <v>126</v>
      </c>
      <c r="D207" s="27">
        <v>20</v>
      </c>
      <c r="E207" s="27">
        <v>0</v>
      </c>
      <c r="F207" s="27">
        <v>2</v>
      </c>
      <c r="G207" s="27">
        <v>12.46</v>
      </c>
      <c r="I207" s="3">
        <f t="shared" si="7"/>
        <v>85</v>
      </c>
      <c r="J207" s="27">
        <v>12.46</v>
      </c>
      <c r="K207" s="27">
        <v>20</v>
      </c>
    </row>
    <row r="208" spans="1:11" ht="30.75" thickBot="1" x14ac:dyDescent="0.3">
      <c r="A208" s="26">
        <v>45443.719074074077</v>
      </c>
      <c r="B208" s="27">
        <v>19</v>
      </c>
      <c r="C208" s="4" t="s">
        <v>126</v>
      </c>
      <c r="D208" s="27">
        <v>20</v>
      </c>
      <c r="E208" s="27">
        <v>0</v>
      </c>
      <c r="F208" s="27">
        <v>0</v>
      </c>
      <c r="G208" s="27">
        <v>12.204000000000001</v>
      </c>
      <c r="I208" s="3">
        <f t="shared" si="7"/>
        <v>86</v>
      </c>
      <c r="J208" s="27">
        <v>12.204000000000001</v>
      </c>
      <c r="K208" s="27">
        <v>20</v>
      </c>
    </row>
    <row r="209" spans="1:11" ht="30.75" thickBot="1" x14ac:dyDescent="0.3">
      <c r="A209" s="26">
        <v>45443.719189814816</v>
      </c>
      <c r="B209" s="27">
        <v>25</v>
      </c>
      <c r="C209" s="4" t="s">
        <v>127</v>
      </c>
      <c r="D209" s="27">
        <v>20</v>
      </c>
      <c r="E209" s="27">
        <v>0</v>
      </c>
      <c r="F209" s="27">
        <v>1</v>
      </c>
      <c r="G209" s="27">
        <v>15.105</v>
      </c>
      <c r="I209" s="3">
        <f t="shared" si="7"/>
        <v>87</v>
      </c>
      <c r="J209" s="27">
        <v>15.105</v>
      </c>
      <c r="K209" s="27">
        <v>20</v>
      </c>
    </row>
    <row r="210" spans="1:11" ht="30.75" thickBot="1" x14ac:dyDescent="0.3">
      <c r="A210" s="26">
        <v>45443.719236111108</v>
      </c>
      <c r="B210" s="27">
        <v>19</v>
      </c>
      <c r="C210" s="4" t="s">
        <v>126</v>
      </c>
      <c r="D210" s="27">
        <v>20</v>
      </c>
      <c r="E210" s="27">
        <v>0</v>
      </c>
      <c r="F210" s="27">
        <v>0</v>
      </c>
      <c r="G210" s="27">
        <v>12.606999999999999</v>
      </c>
      <c r="I210" s="3">
        <f t="shared" si="7"/>
        <v>88</v>
      </c>
      <c r="J210" s="27">
        <v>12.606999999999999</v>
      </c>
      <c r="K210" s="27">
        <v>20</v>
      </c>
    </row>
    <row r="211" spans="1:11" ht="30.75" thickBot="1" x14ac:dyDescent="0.3">
      <c r="A211" s="26">
        <v>45443.719525462962</v>
      </c>
      <c r="B211" s="27">
        <v>25</v>
      </c>
      <c r="C211" s="4" t="s">
        <v>127</v>
      </c>
      <c r="D211" s="27">
        <v>20</v>
      </c>
      <c r="E211" s="27">
        <v>0</v>
      </c>
      <c r="F211" s="27">
        <v>3</v>
      </c>
      <c r="G211" s="27">
        <v>15.13</v>
      </c>
      <c r="I211" s="3">
        <f t="shared" si="7"/>
        <v>89</v>
      </c>
      <c r="J211" s="27">
        <v>15.13</v>
      </c>
      <c r="K211" s="27">
        <v>20</v>
      </c>
    </row>
    <row r="212" spans="1:11" ht="30.75" thickBot="1" x14ac:dyDescent="0.3">
      <c r="A212" s="26">
        <v>45443.719953703701</v>
      </c>
      <c r="B212" s="27">
        <v>19</v>
      </c>
      <c r="C212" s="4" t="s">
        <v>126</v>
      </c>
      <c r="D212" s="27">
        <v>20</v>
      </c>
      <c r="E212" s="27">
        <v>0</v>
      </c>
      <c r="F212" s="27">
        <v>0</v>
      </c>
      <c r="G212" s="27">
        <v>12.439</v>
      </c>
      <c r="I212" s="3">
        <f t="shared" si="7"/>
        <v>90</v>
      </c>
      <c r="J212" s="27">
        <v>12.439</v>
      </c>
      <c r="K212" s="27">
        <v>20</v>
      </c>
    </row>
    <row r="213" spans="1:11" ht="30.75" thickBot="1" x14ac:dyDescent="0.3">
      <c r="A213" s="26">
        <v>45443.720138888886</v>
      </c>
      <c r="B213" s="27">
        <v>19</v>
      </c>
      <c r="C213" s="4" t="s">
        <v>126</v>
      </c>
      <c r="D213" s="27">
        <v>20</v>
      </c>
      <c r="E213" s="27">
        <v>0</v>
      </c>
      <c r="F213" s="27">
        <v>0</v>
      </c>
      <c r="G213" s="27">
        <v>12.443</v>
      </c>
      <c r="I213" s="3">
        <f t="shared" si="7"/>
        <v>91</v>
      </c>
      <c r="J213" s="27">
        <v>12.443</v>
      </c>
      <c r="K213" s="27">
        <v>20</v>
      </c>
    </row>
    <row r="214" spans="1:11" ht="30.75" thickBot="1" x14ac:dyDescent="0.3">
      <c r="A214" s="26">
        <v>45443.720555555556</v>
      </c>
      <c r="B214" s="27">
        <v>19</v>
      </c>
      <c r="C214" s="4" t="s">
        <v>126</v>
      </c>
      <c r="D214" s="27">
        <v>20</v>
      </c>
      <c r="E214" s="27">
        <v>0</v>
      </c>
      <c r="F214" s="27">
        <v>1</v>
      </c>
      <c r="G214" s="27">
        <v>12.846</v>
      </c>
      <c r="I214" s="3">
        <f t="shared" si="7"/>
        <v>92</v>
      </c>
      <c r="J214" s="27">
        <v>12.846</v>
      </c>
      <c r="K214" s="27">
        <v>20</v>
      </c>
    </row>
    <row r="215" spans="1:11" ht="30.75" thickBot="1" x14ac:dyDescent="0.3">
      <c r="A215" s="26">
        <v>45799.685104166667</v>
      </c>
      <c r="B215" s="27">
        <v>43</v>
      </c>
      <c r="C215" s="4" t="s">
        <v>132</v>
      </c>
      <c r="D215" s="27">
        <v>20</v>
      </c>
      <c r="E215" s="27">
        <v>0</v>
      </c>
      <c r="F215" s="27">
        <v>0</v>
      </c>
      <c r="G215" s="27">
        <v>20.751000000000001</v>
      </c>
      <c r="I215" s="3">
        <f t="shared" si="7"/>
        <v>93</v>
      </c>
      <c r="J215" s="27">
        <v>20.751000000000001</v>
      </c>
      <c r="K215" s="27">
        <v>20</v>
      </c>
    </row>
  </sheetData>
  <mergeCells count="3">
    <mergeCell ref="N1:O1"/>
    <mergeCell ref="Q1:R1"/>
    <mergeCell ref="A121:I1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C818A650090D49B16CCD510F084836" ma:contentTypeVersion="9" ma:contentTypeDescription="Criar um novo documento." ma:contentTypeScope="" ma:versionID="e1b3bd4025bbe521039959c84e0b1f4e">
  <xsd:schema xmlns:xsd="http://www.w3.org/2001/XMLSchema" xmlns:xs="http://www.w3.org/2001/XMLSchema" xmlns:p="http://schemas.microsoft.com/office/2006/metadata/properties" xmlns:ns3="91b5556a-d59c-4513-a1cb-1fb81a3f5883" xmlns:ns4="ed163b1a-8f8c-4543-9b75-3b1e7d0482fc" targetNamespace="http://schemas.microsoft.com/office/2006/metadata/properties" ma:root="true" ma:fieldsID="e967548ee5bf987907aed2dce32dd8aa" ns3:_="" ns4:_="">
    <xsd:import namespace="91b5556a-d59c-4513-a1cb-1fb81a3f5883"/>
    <xsd:import namespace="ed163b1a-8f8c-4543-9b75-3b1e7d0482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5556a-d59c-4513-a1cb-1fb81a3f58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63b1a-8f8c-4543-9b75-3b1e7d0482f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b5556a-d59c-4513-a1cb-1fb81a3f5883" xsi:nil="true"/>
  </documentManagement>
</p:properties>
</file>

<file path=customXml/itemProps1.xml><?xml version="1.0" encoding="utf-8"?>
<ds:datastoreItem xmlns:ds="http://schemas.openxmlformats.org/officeDocument/2006/customXml" ds:itemID="{A8CDE0B4-5058-4072-8CF2-D6A1B2DEC7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5F3AEE-056F-4F9A-955F-2739FDD06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b5556a-d59c-4513-a1cb-1fb81a3f5883"/>
    <ds:schemaRef ds:uri="ed163b1a-8f8c-4543-9b75-3b1e7d0482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F6DC3E-6D07-422C-BCE6-BE0D6B9EE5B4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91b5556a-d59c-4513-a1cb-1fb81a3f5883"/>
    <ds:schemaRef ds:uri="ed163b1a-8f8c-4543-9b75-3b1e7d0482f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Dados Recolhidos</vt:lpstr>
      <vt:lpstr>Dados Fornecidos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fc60831</dc:creator>
  <cp:lastModifiedBy>fc60831</cp:lastModifiedBy>
  <dcterms:created xsi:type="dcterms:W3CDTF">2025-06-10T17:20:26Z</dcterms:created>
  <dcterms:modified xsi:type="dcterms:W3CDTF">2025-06-16T19:23:02Z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0x010100E0C818A650090D49B16CCD510F084836</vt:lpwstr>
  </property>
</Properties>
</file>